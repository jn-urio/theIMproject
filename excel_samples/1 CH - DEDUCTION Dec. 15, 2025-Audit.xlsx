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 " sheetId="1" r:id="rId4"/>
    <sheet state="visible" name="rnF " sheetId="2" r:id="rId5"/>
    <sheet state="visible" name="Sheet1" sheetId="3" r:id="rId6"/>
    <sheet state="visible" name="Sheet2" sheetId="4" r:id="rId7"/>
  </sheets>
  <definedNames>
    <definedName name="_xlfn.SINGLE">#NAME?</definedName>
  </definedNames>
  <calcPr/>
  <extLst>
    <ext uri="GoogleSheetsCustomDataVersion2">
      <go:sheetsCustomData xmlns:go="http://customooxmlschemas.google.com/" r:id="rId8" roundtripDataChecksum="6Yp2Rxbzpt5mWtl7Lt0SyGOI2M+w7pBiq02TFy6g3v0="/>
    </ext>
  </extLst>
</workbook>
</file>

<file path=xl/sharedStrings.xml><?xml version="1.0" encoding="utf-8"?>
<sst xmlns="http://schemas.openxmlformats.org/spreadsheetml/2006/main" count="168" uniqueCount="103">
  <si>
    <t>RANCHO PALOS VERDES GOLF AND COUNTRY CLUB</t>
  </si>
  <si>
    <t>DEDUCTION SUMMARY</t>
  </si>
  <si>
    <t>SUPERVISOR</t>
  </si>
  <si>
    <t>PAYROLL PERIOD:</t>
  </si>
  <si>
    <t>EMPLOYEE NAME</t>
  </si>
  <si>
    <t>FNB</t>
  </si>
  <si>
    <t>ATD</t>
  </si>
  <si>
    <t xml:space="preserve">OTHER </t>
  </si>
  <si>
    <t>SSS</t>
  </si>
  <si>
    <t>Calamity</t>
  </si>
  <si>
    <t>Pag-Ibig</t>
  </si>
  <si>
    <t>Emp.loan</t>
  </si>
  <si>
    <t>Cash</t>
  </si>
  <si>
    <t>Emerg.</t>
  </si>
  <si>
    <t>Emp.</t>
  </si>
  <si>
    <t>Rice</t>
  </si>
  <si>
    <t>Mandug</t>
  </si>
  <si>
    <t>Bag/umbrella</t>
  </si>
  <si>
    <t>RAFFLE</t>
  </si>
  <si>
    <t>Relief</t>
  </si>
  <si>
    <t>GLOBE</t>
  </si>
  <si>
    <t>Alsons</t>
  </si>
  <si>
    <t>CHARGES</t>
  </si>
  <si>
    <t>W/Held</t>
  </si>
  <si>
    <t>Loan</t>
  </si>
  <si>
    <t>Regular</t>
  </si>
  <si>
    <t>Advance</t>
  </si>
  <si>
    <t>Savings</t>
  </si>
  <si>
    <t>Coop</t>
  </si>
  <si>
    <t>Maa-ATD</t>
  </si>
  <si>
    <t>GC</t>
  </si>
  <si>
    <t>TICKET</t>
  </si>
  <si>
    <t>Zenda</t>
  </si>
  <si>
    <t>PLAN</t>
  </si>
  <si>
    <t>Insurance</t>
  </si>
  <si>
    <t>alcohol</t>
  </si>
  <si>
    <t>TAX</t>
  </si>
  <si>
    <t>Total</t>
  </si>
  <si>
    <t>FINANCE DEPARTMENT</t>
  </si>
  <si>
    <t>Employee A</t>
  </si>
  <si>
    <t>Employee B</t>
  </si>
  <si>
    <t>SUB TOTAL &gt;&gt;</t>
  </si>
  <si>
    <t>GENERAL AND ADMINISTRATION</t>
  </si>
  <si>
    <t>Employee C</t>
  </si>
  <si>
    <t>GOLF MAINTENANCE</t>
  </si>
  <si>
    <t>Employee D</t>
  </si>
  <si>
    <t>Employee E</t>
  </si>
  <si>
    <t>GOLF OPERATION</t>
  </si>
  <si>
    <t>Employee F</t>
  </si>
  <si>
    <t>HUMAN RESOURCE &amp; DEVELOPMENT</t>
  </si>
  <si>
    <t>Employee G</t>
  </si>
  <si>
    <t>INTERNAL AUDIT DEPT.</t>
  </si>
  <si>
    <t>Employee H</t>
  </si>
  <si>
    <t>FOOD &amp; BEVERAGES DEPT.</t>
  </si>
  <si>
    <t>Employee I</t>
  </si>
  <si>
    <t>GRAND TOTAL</t>
  </si>
  <si>
    <t>Rank in File</t>
  </si>
  <si>
    <t>Nov. 24 to Dec. 08, 2025</t>
  </si>
  <si>
    <t>ALSONS</t>
  </si>
  <si>
    <t>F&amp;B</t>
  </si>
  <si>
    <t>Others</t>
  </si>
  <si>
    <t>Mortuary</t>
  </si>
  <si>
    <t xml:space="preserve">Globe </t>
  </si>
  <si>
    <t>Medical</t>
  </si>
  <si>
    <t>INSURANCE</t>
  </si>
  <si>
    <t>MANDUG</t>
  </si>
  <si>
    <t>Bag</t>
  </si>
  <si>
    <t>Laguna</t>
  </si>
  <si>
    <t>Plan</t>
  </si>
  <si>
    <t>Alcohol</t>
  </si>
  <si>
    <t>MP2</t>
  </si>
  <si>
    <t>MA-A</t>
  </si>
  <si>
    <t>Umbrella</t>
  </si>
  <si>
    <t>.</t>
  </si>
  <si>
    <t>FOOD AND BEVERAGES</t>
  </si>
  <si>
    <t>AGARRADO, MARK GIL SAGAYON</t>
  </si>
  <si>
    <t>ASPERGA, ERIC MINOZA</t>
  </si>
  <si>
    <t>PEREZ, JOHN LEE FLAUTA</t>
  </si>
  <si>
    <t>SARCE, EUGENIO OWIS</t>
  </si>
  <si>
    <t>Employee J</t>
  </si>
  <si>
    <t>Employee K</t>
  </si>
  <si>
    <t>Employee L</t>
  </si>
  <si>
    <t>Employee M</t>
  </si>
  <si>
    <t>Employee N</t>
  </si>
  <si>
    <t>Employee O</t>
  </si>
  <si>
    <t>Employee P</t>
  </si>
  <si>
    <t>HOUSEKEEPING</t>
  </si>
  <si>
    <t>Employee Q</t>
  </si>
  <si>
    <t>Employee R</t>
  </si>
  <si>
    <t>Employee S</t>
  </si>
  <si>
    <t>Employee T</t>
  </si>
  <si>
    <t>Employee U</t>
  </si>
  <si>
    <t>Employee V</t>
  </si>
  <si>
    <t>Employee W</t>
  </si>
  <si>
    <t>Employee X</t>
  </si>
  <si>
    <t>Employee Y</t>
  </si>
  <si>
    <t>Employee Z</t>
  </si>
  <si>
    <t>Employee AA</t>
  </si>
  <si>
    <t>Employee AB</t>
  </si>
  <si>
    <t xml:space="preserve"> </t>
  </si>
  <si>
    <t>Employee AC</t>
  </si>
  <si>
    <t>Employee AD</t>
  </si>
  <si>
    <t>GRAND TOTAL &gt;&gt;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</si>
</sst>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#,##0.00_);\-#,##0.00"/>
  </numFmts>
  <fonts count="29">
    <font>
      <sz val="10.0"/>
      <color rgb="FF000000"/>
      <name val="Open Sans"/>
      <scheme val="minor"/>
    </font>
    <font>
      <sz val="12.0"/>
      <color rgb="FF000000"/>
      <name val="Arial"/>
    </font>
    <font>
      <b/>
      <sz val="12.0"/>
      <color rgb="FF000000"/>
      <name val="Arial"/>
    </font>
    <font>
      <b/>
      <sz val="12.0"/>
      <color rgb="FFFF0000"/>
      <name val="Arial"/>
    </font>
    <font>
      <sz val="11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  <font>
      <sz val="10.0"/>
      <color rgb="FF000000"/>
      <name val="Open Sans"/>
    </font>
    <font>
      <sz val="11.0"/>
      <color theme="1"/>
      <name val="Arial"/>
    </font>
    <font>
      <sz val="10.0"/>
      <color theme="1"/>
      <name val="Open Sans"/>
    </font>
    <font/>
    <font>
      <sz val="12.0"/>
      <color rgb="FFFF0000"/>
      <name val="Arial"/>
    </font>
    <font>
      <sz val="8.0"/>
      <color rgb="FF000000"/>
      <name val="Tahoma"/>
    </font>
    <font>
      <sz val="10.0"/>
      <color rgb="FF000000"/>
      <name val="Tahoma"/>
    </font>
    <font>
      <b/>
      <sz val="8.0"/>
      <color rgb="FF000000"/>
      <name val="Tahoma"/>
    </font>
    <font>
      <b/>
      <sz val="10.0"/>
      <color rgb="FF000000"/>
      <name val="Tahoma"/>
    </font>
    <font>
      <sz val="5.0"/>
      <color rgb="FF000000"/>
      <name val="Times New Roman"/>
    </font>
    <font>
      <sz val="12.0"/>
      <color rgb="FF000000"/>
      <name val="Open Sans"/>
    </font>
    <font>
      <b/>
      <sz val="12.0"/>
      <color rgb="FF000000"/>
      <name val="Tahoma"/>
    </font>
    <font>
      <b/>
      <sz val="12.0"/>
      <color rgb="FFFF0000"/>
      <name val="Tahoma"/>
    </font>
    <font>
      <sz val="12.0"/>
      <color rgb="FF000000"/>
      <name val="Calibri"/>
    </font>
    <font>
      <sz val="10.0"/>
      <color rgb="FF000000"/>
      <name val="Arial"/>
    </font>
    <font>
      <sz val="10.0"/>
      <color theme="1"/>
      <name val="Arial"/>
    </font>
    <font>
      <sz val="9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sz val="9.0"/>
      <color rgb="FF000000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9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shrinkToFit="0" vertical="bottom" wrapText="0"/>
    </xf>
    <xf borderId="14" fillId="0" fontId="1" numFmtId="0" xfId="0" applyAlignment="1" applyBorder="1" applyFont="1">
      <alignment shrinkToFit="0" vertical="bottom" wrapText="0"/>
    </xf>
    <xf borderId="15" fillId="0" fontId="1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horizontal="center" shrinkToFit="0" vertical="center" wrapText="0"/>
    </xf>
    <xf borderId="17" fillId="0" fontId="2" numFmtId="0" xfId="0" applyAlignment="1" applyBorder="1" applyFont="1">
      <alignment horizontal="center" shrinkToFit="0" vertical="center" wrapText="0"/>
    </xf>
    <xf borderId="18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horizontal="center" shrinkToFit="0" vertical="center" wrapText="0"/>
    </xf>
    <xf borderId="20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21" fillId="0" fontId="2" numFmtId="0" xfId="0" applyAlignment="1" applyBorder="1" applyFont="1">
      <alignment horizontal="center" shrinkToFit="0" vertical="center" wrapText="0"/>
    </xf>
    <xf borderId="21" fillId="0" fontId="1" numFmtId="0" xfId="0" applyAlignment="1" applyBorder="1" applyFont="1">
      <alignment shrinkToFit="0" vertical="bottom" wrapText="0"/>
    </xf>
    <xf borderId="22" fillId="3" fontId="1" numFmtId="3" xfId="0" applyAlignment="1" applyBorder="1" applyFill="1" applyFont="1" applyNumberFormat="1">
      <alignment horizontal="right" shrinkToFit="0" vertical="center" wrapText="0"/>
    </xf>
    <xf borderId="23" fillId="3" fontId="1" numFmtId="0" xfId="0" applyAlignment="1" applyBorder="1" applyFont="1">
      <alignment horizontal="left" shrinkToFit="0" vertical="center" wrapText="0"/>
    </xf>
    <xf borderId="23" fillId="3" fontId="1" numFmtId="0" xfId="0" applyAlignment="1" applyBorder="1" applyFont="1">
      <alignment readingOrder="0" shrinkToFit="0" vertical="center" wrapText="0"/>
    </xf>
    <xf borderId="23" fillId="3" fontId="1" numFmtId="0" xfId="0" applyAlignment="1" applyBorder="1" applyFont="1">
      <alignment shrinkToFit="0" vertical="bottom" wrapText="0"/>
    </xf>
    <xf borderId="23" fillId="3" fontId="1" numFmtId="164" xfId="0" applyAlignment="1" applyBorder="1" applyFont="1" applyNumberFormat="1">
      <alignment shrinkToFit="0" vertical="bottom" wrapText="0"/>
    </xf>
    <xf borderId="23" fillId="3" fontId="1" numFmtId="164" xfId="0" applyAlignment="1" applyBorder="1" applyFont="1" applyNumberFormat="1">
      <alignment horizontal="right" shrinkToFit="0" vertical="center" wrapText="0"/>
    </xf>
    <xf borderId="23" fillId="2" fontId="1" numFmtId="164" xfId="0" applyAlignment="1" applyBorder="1" applyFont="1" applyNumberFormat="1">
      <alignment horizontal="right" shrinkToFit="0" vertical="center" wrapText="0"/>
    </xf>
    <xf borderId="24" fillId="0" fontId="1" numFmtId="164" xfId="0" applyAlignment="1" applyBorder="1" applyFont="1" applyNumberFormat="1">
      <alignment horizontal="right" shrinkToFit="0" vertical="center" wrapText="0"/>
    </xf>
    <xf borderId="24" fillId="0" fontId="5" numFmtId="164" xfId="0" applyAlignment="1" applyBorder="1" applyFont="1" applyNumberFormat="1">
      <alignment horizontal="right" shrinkToFit="0" vertical="center" wrapText="0"/>
    </xf>
    <xf borderId="23" fillId="2" fontId="1" numFmtId="164" xfId="0" applyAlignment="1" applyBorder="1" applyFont="1" applyNumberFormat="1">
      <alignment shrinkToFit="0" vertical="bottom" wrapText="0"/>
    </xf>
    <xf borderId="24" fillId="0" fontId="1" numFmtId="164" xfId="0" applyAlignment="1" applyBorder="1" applyFont="1" applyNumberFormat="1">
      <alignment shrinkToFit="0" vertical="bottom" wrapText="0"/>
    </xf>
    <xf borderId="25" fillId="0" fontId="1" numFmtId="164" xfId="0" applyAlignment="1" applyBorder="1" applyFont="1" applyNumberFormat="1">
      <alignment shrinkToFit="0" vertical="bottom" wrapText="0"/>
    </xf>
    <xf borderId="25" fillId="2" fontId="1" numFmtId="164" xfId="0" applyAlignment="1" applyBorder="1" applyFont="1" applyNumberFormat="1">
      <alignment shrinkToFit="0" vertical="bottom" wrapText="0"/>
    </xf>
    <xf borderId="26" fillId="3" fontId="6" numFmtId="164" xfId="0" applyAlignment="1" applyBorder="1" applyFont="1" applyNumberForma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27" fillId="0" fontId="1" numFmtId="3" xfId="0" applyAlignment="1" applyBorder="1" applyFont="1" applyNumberFormat="1">
      <alignment horizontal="right" shrinkToFit="0" vertical="center" wrapText="0"/>
    </xf>
    <xf borderId="25" fillId="0" fontId="1" numFmtId="0" xfId="0" applyAlignment="1" applyBorder="1" applyFont="1">
      <alignment horizontal="left" shrinkToFit="0" vertical="center" wrapText="0"/>
    </xf>
    <xf borderId="25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bottom" wrapText="0"/>
    </xf>
    <xf borderId="25" fillId="3" fontId="1" numFmtId="164" xfId="0" applyAlignment="1" applyBorder="1" applyFont="1" applyNumberFormat="1">
      <alignment shrinkToFit="0" vertical="bottom" wrapText="0"/>
    </xf>
    <xf borderId="25" fillId="3" fontId="4" numFmtId="164" xfId="0" applyAlignment="1" applyBorder="1" applyFont="1" applyNumberFormat="1">
      <alignment horizontal="right" shrinkToFit="0" vertical="center" wrapText="0"/>
    </xf>
    <xf borderId="25" fillId="0" fontId="1" numFmtId="164" xfId="0" applyAlignment="1" applyBorder="1" applyFont="1" applyNumberFormat="1">
      <alignment horizontal="right" shrinkToFit="0" vertical="center" wrapText="0"/>
    </xf>
    <xf borderId="25" fillId="0" fontId="5" numFmtId="164" xfId="0" applyAlignment="1" applyBorder="1" applyFont="1" applyNumberFormat="1">
      <alignment horizontal="right" shrinkToFit="0" vertical="center" wrapText="0"/>
    </xf>
    <xf borderId="27" fillId="3" fontId="1" numFmtId="3" xfId="0" applyAlignment="1" applyBorder="1" applyFont="1" applyNumberFormat="1">
      <alignment horizontal="right" shrinkToFit="0" vertical="center" wrapText="0"/>
    </xf>
    <xf borderId="25" fillId="3" fontId="1" numFmtId="0" xfId="0" applyAlignment="1" applyBorder="1" applyFont="1">
      <alignment horizontal="left" shrinkToFit="0" vertical="center" wrapText="0"/>
    </xf>
    <xf borderId="25" fillId="3" fontId="1" numFmtId="0" xfId="0" applyAlignment="1" applyBorder="1" applyFont="1">
      <alignment readingOrder="0" shrinkToFit="0" vertical="center" wrapText="0"/>
    </xf>
    <xf borderId="25" fillId="3" fontId="1" numFmtId="0" xfId="0" applyAlignment="1" applyBorder="1" applyFont="1">
      <alignment shrinkToFit="0" vertical="bottom" wrapText="0"/>
    </xf>
    <xf borderId="25" fillId="3" fontId="1" numFmtId="164" xfId="0" applyAlignment="1" applyBorder="1" applyFont="1" applyNumberFormat="1">
      <alignment horizontal="right" shrinkToFit="0" vertical="center" wrapText="0"/>
    </xf>
    <xf borderId="25" fillId="2" fontId="1" numFmtId="164" xfId="0" applyAlignment="1" applyBorder="1" applyFont="1" applyNumberFormat="1">
      <alignment horizontal="right" shrinkToFit="0" vertical="center" wrapText="0"/>
    </xf>
    <xf borderId="28" fillId="0" fontId="1" numFmtId="3" xfId="0" applyAlignment="1" applyBorder="1" applyFont="1" applyNumberFormat="1">
      <alignment horizontal="right" shrinkToFit="0" vertical="center" wrapText="0"/>
    </xf>
    <xf borderId="29" fillId="0" fontId="1" numFmtId="0" xfId="0" applyAlignment="1" applyBorder="1" applyFont="1">
      <alignment horizontal="left" shrinkToFit="0" vertical="center" wrapText="0"/>
    </xf>
    <xf borderId="29" fillId="0" fontId="1" numFmtId="0" xfId="0" applyAlignment="1" applyBorder="1" applyFont="1">
      <alignment shrinkToFit="0" vertical="center" wrapText="0"/>
    </xf>
    <xf borderId="29" fillId="0" fontId="1" numFmtId="0" xfId="0" applyAlignment="1" applyBorder="1" applyFont="1">
      <alignment shrinkToFit="0" vertical="bottom" wrapText="0"/>
    </xf>
    <xf borderId="29" fillId="0" fontId="1" numFmtId="164" xfId="0" applyAlignment="1" applyBorder="1" applyFont="1" applyNumberFormat="1">
      <alignment shrinkToFit="0" vertical="bottom" wrapText="0"/>
    </xf>
    <xf borderId="29" fillId="0" fontId="1" numFmtId="164" xfId="0" applyAlignment="1" applyBorder="1" applyFont="1" applyNumberFormat="1">
      <alignment horizontal="right" shrinkToFit="0" vertical="center" wrapText="0"/>
    </xf>
    <xf borderId="30" fillId="0" fontId="6" numFmtId="164" xfId="0" applyAlignment="1" applyBorder="1" applyFont="1" applyNumberFormat="1">
      <alignment shrinkToFit="0" vertical="bottom" wrapText="0"/>
    </xf>
    <xf borderId="31" fillId="2" fontId="5" numFmtId="3" xfId="0" applyAlignment="1" applyBorder="1" applyFont="1" applyNumberFormat="1">
      <alignment horizontal="right" shrinkToFit="0" vertical="center" wrapText="0"/>
    </xf>
    <xf borderId="32" fillId="2" fontId="5" numFmtId="0" xfId="0" applyAlignment="1" applyBorder="1" applyFont="1">
      <alignment horizontal="left" shrinkToFit="0" vertical="center" wrapText="0"/>
    </xf>
    <xf borderId="32" fillId="2" fontId="5" numFmtId="0" xfId="0" applyAlignment="1" applyBorder="1" applyFont="1">
      <alignment shrinkToFit="0" vertical="center" wrapText="0"/>
    </xf>
    <xf borderId="32" fillId="2" fontId="6" numFmtId="0" xfId="0" applyAlignment="1" applyBorder="1" applyFont="1">
      <alignment horizontal="left" shrinkToFit="0" vertical="center" wrapText="0"/>
    </xf>
    <xf borderId="32" fillId="2" fontId="6" numFmtId="164" xfId="0" applyAlignment="1" applyBorder="1" applyFont="1" applyNumberFormat="1">
      <alignment shrinkToFit="0" vertical="bottom" wrapText="0"/>
    </xf>
    <xf borderId="33" fillId="2" fontId="6" numFmtId="164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34" fillId="0" fontId="1" numFmtId="3" xfId="0" applyAlignment="1" applyBorder="1" applyFont="1" applyNumberFormat="1">
      <alignment horizontal="right" shrinkToFit="0" vertical="center" wrapText="0"/>
    </xf>
    <xf borderId="24" fillId="0" fontId="1" numFmtId="0" xfId="0" applyAlignment="1" applyBorder="1" applyFont="1">
      <alignment horizontal="left" shrinkToFit="0" vertical="center" wrapText="0"/>
    </xf>
    <xf borderId="24" fillId="0" fontId="1" numFmtId="0" xfId="0" applyAlignment="1" applyBorder="1" applyFont="1">
      <alignment shrinkToFit="0" vertical="center" wrapText="0"/>
    </xf>
    <xf borderId="24" fillId="0" fontId="3" numFmtId="0" xfId="0" applyAlignment="1" applyBorder="1" applyFont="1">
      <alignment horizontal="left" shrinkToFit="0" vertical="center" wrapText="0"/>
    </xf>
    <xf borderId="30" fillId="0" fontId="3" numFmtId="164" xfId="0" applyAlignment="1" applyBorder="1" applyFont="1" applyNumberFormat="1">
      <alignment shrinkToFit="0" vertical="bottom" wrapText="0"/>
    </xf>
    <xf borderId="27" fillId="0" fontId="2" numFmtId="3" xfId="0" applyAlignment="1" applyBorder="1" applyFont="1" applyNumberFormat="1">
      <alignment horizontal="right" shrinkToFit="0" vertical="center" wrapText="0"/>
    </xf>
    <xf borderId="25" fillId="0" fontId="2" numFmtId="0" xfId="0" applyAlignment="1" applyBorder="1" applyFont="1">
      <alignment horizontal="left" shrinkToFit="0" vertical="center" wrapText="0"/>
    </xf>
    <xf borderId="25" fillId="0" fontId="2" numFmtId="0" xfId="0" applyAlignment="1" applyBorder="1" applyFont="1">
      <alignment shrinkToFit="0" vertical="center" wrapText="0"/>
    </xf>
    <xf borderId="35" fillId="0" fontId="3" numFmtId="164" xfId="0" applyAlignment="1" applyBorder="1" applyFont="1" applyNumberFormat="1">
      <alignment shrinkToFit="0" vertical="bottom" wrapText="0"/>
    </xf>
    <xf borderId="35" fillId="0" fontId="6" numFmtId="164" xfId="0" applyAlignment="1" applyBorder="1" applyFont="1" applyNumberFormat="1">
      <alignment shrinkToFit="0" vertical="bottom" wrapText="0"/>
    </xf>
    <xf borderId="31" fillId="2" fontId="1" numFmtId="3" xfId="0" applyAlignment="1" applyBorder="1" applyFont="1" applyNumberFormat="1">
      <alignment horizontal="right" shrinkToFit="0" vertical="center" wrapText="0"/>
    </xf>
    <xf borderId="32" fillId="2" fontId="1" numFmtId="0" xfId="0" applyAlignment="1" applyBorder="1" applyFont="1">
      <alignment horizontal="left" shrinkToFit="0" vertical="center" wrapText="0"/>
    </xf>
    <xf borderId="32" fillId="2" fontId="1" numFmtId="0" xfId="0" applyAlignment="1" applyBorder="1" applyFont="1">
      <alignment shrinkToFit="0" vertical="center" wrapText="0"/>
    </xf>
    <xf borderId="32" fillId="2" fontId="3" numFmtId="0" xfId="0" applyAlignment="1" applyBorder="1" applyFont="1">
      <alignment horizontal="left" shrinkToFit="0" vertical="center" wrapText="0"/>
    </xf>
    <xf borderId="32" fillId="2" fontId="3" numFmtId="164" xfId="0" applyAlignment="1" applyBorder="1" applyFont="1" applyNumberFormat="1">
      <alignment shrinkToFit="0" vertical="bottom" wrapText="0"/>
    </xf>
    <xf borderId="33" fillId="2" fontId="3" numFmtId="164" xfId="0" applyAlignment="1" applyBorder="1" applyFont="1" applyNumberForma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25" fillId="2" fontId="5" numFmtId="164" xfId="0" applyAlignment="1" applyBorder="1" applyFont="1" applyNumberFormat="1">
      <alignment shrinkToFit="0" vertical="bottom" wrapText="0"/>
    </xf>
    <xf borderId="35" fillId="3" fontId="6" numFmtId="164" xfId="0" applyAlignment="1" applyBorder="1" applyFont="1" applyNumberFormat="1">
      <alignment shrinkToFit="0" vertical="bottom" wrapText="0"/>
    </xf>
    <xf borderId="25" fillId="0" fontId="2" numFmtId="164" xfId="0" applyAlignment="1" applyBorder="1" applyFont="1" applyNumberFormat="1">
      <alignment shrinkToFit="0" vertical="center" wrapText="0"/>
    </xf>
    <xf borderId="25" fillId="0" fontId="1" numFmtId="3" xfId="0" applyAlignment="1" applyBorder="1" applyFont="1" applyNumberFormat="1">
      <alignment horizontal="right" shrinkToFit="0" vertical="center" wrapText="0"/>
    </xf>
    <xf borderId="25" fillId="3" fontId="1" numFmtId="3" xfId="0" applyAlignment="1" applyBorder="1" applyFont="1" applyNumberFormat="1">
      <alignment horizontal="right" shrinkToFit="0" vertical="center" wrapText="0"/>
    </xf>
    <xf borderId="29" fillId="0" fontId="1" numFmtId="3" xfId="0" applyAlignment="1" applyBorder="1" applyFont="1" applyNumberFormat="1">
      <alignment horizontal="right" shrinkToFit="0" vertical="center" wrapText="0"/>
    </xf>
    <xf borderId="36" fillId="3" fontId="1" numFmtId="164" xfId="0" applyAlignment="1" applyBorder="1" applyFont="1" applyNumberFormat="1">
      <alignment shrinkToFit="0" vertical="bottom" wrapText="0"/>
    </xf>
    <xf borderId="36" fillId="3" fontId="1" numFmtId="164" xfId="0" applyAlignment="1" applyBorder="1" applyFont="1" applyNumberFormat="1">
      <alignment horizontal="right" shrinkToFit="0" vertical="center" wrapText="0"/>
    </xf>
    <xf borderId="32" fillId="2" fontId="5" numFmtId="3" xfId="0" applyAlignment="1" applyBorder="1" applyFont="1" applyNumberFormat="1">
      <alignment horizontal="right" shrinkToFit="0" vertical="center" wrapText="0"/>
    </xf>
    <xf borderId="24" fillId="0" fontId="1" numFmtId="3" xfId="0" applyAlignment="1" applyBorder="1" applyFont="1" applyNumberFormat="1">
      <alignment horizontal="right" shrinkToFit="0" vertical="center" wrapText="0"/>
    </xf>
    <xf borderId="25" fillId="0" fontId="3" numFmtId="164" xfId="0" applyAlignment="1" applyBorder="1" applyFont="1" applyNumberFormat="1">
      <alignment horizontal="left" shrinkToFit="0" vertical="center" wrapText="0"/>
    </xf>
    <xf borderId="25" fillId="0" fontId="5" numFmtId="164" xfId="0" applyAlignment="1" applyBorder="1" applyFont="1" applyNumberFormat="1">
      <alignment shrinkToFit="0" vertical="bottom" wrapText="0"/>
    </xf>
    <xf borderId="24" fillId="0" fontId="3" numFmtId="164" xfId="0" applyAlignment="1" applyBorder="1" applyFont="1" applyNumberFormat="1">
      <alignment shrinkToFit="0" vertical="bottom" wrapText="0"/>
    </xf>
    <xf borderId="25" fillId="0" fontId="3" numFmtId="0" xfId="0" applyAlignment="1" applyBorder="1" applyFont="1">
      <alignment horizontal="left" shrinkToFit="0" vertical="center" wrapText="0"/>
    </xf>
    <xf borderId="25" fillId="3" fontId="5" numFmtId="164" xfId="0" applyAlignment="1" applyBorder="1" applyFont="1" applyNumberFormat="1">
      <alignment shrinkToFit="0" vertical="bottom" wrapText="0"/>
    </xf>
    <xf borderId="37" fillId="3" fontId="1" numFmtId="0" xfId="0" applyAlignment="1" applyBorder="1" applyFont="1">
      <alignment horizontal="left" readingOrder="0" shrinkToFit="0" vertical="center" wrapText="0"/>
    </xf>
    <xf borderId="38" fillId="0" fontId="10" numFmtId="0" xfId="0" applyBorder="1" applyFont="1"/>
    <xf borderId="25" fillId="3" fontId="11" numFmtId="164" xfId="0" applyAlignment="1" applyBorder="1" applyFont="1" applyNumberFormat="1">
      <alignment shrinkToFit="0" vertical="bottom" wrapText="0"/>
    </xf>
    <xf borderId="39" fillId="0" fontId="6" numFmtId="164" xfId="0" applyAlignment="1" applyBorder="1" applyFont="1" applyNumberFormat="1">
      <alignment shrinkToFit="0" vertical="bottom" wrapText="0"/>
    </xf>
    <xf borderId="40" fillId="2" fontId="6" numFmtId="164" xfId="0" applyAlignment="1" applyBorder="1" applyFont="1" applyNumberFormat="1">
      <alignment shrinkToFit="0" vertical="bottom" wrapText="0"/>
    </xf>
    <xf borderId="41" fillId="0" fontId="1" numFmtId="0" xfId="0" applyAlignment="1" applyBorder="1" applyFont="1">
      <alignment shrinkToFit="0" vertical="bottom" wrapText="0"/>
    </xf>
    <xf borderId="42" fillId="0" fontId="1" numFmtId="0" xfId="0" applyAlignment="1" applyBorder="1" applyFont="1">
      <alignment shrinkToFit="0" vertical="bottom" wrapText="0"/>
    </xf>
    <xf borderId="42" fillId="0" fontId="1" numFmtId="164" xfId="0" applyAlignment="1" applyBorder="1" applyFont="1" applyNumberFormat="1">
      <alignment shrinkToFit="0" vertical="bottom" wrapText="0"/>
    </xf>
    <xf borderId="42" fillId="0" fontId="1" numFmtId="164" xfId="0" applyAlignment="1" applyBorder="1" applyFont="1" applyNumberFormat="1">
      <alignment horizontal="right" shrinkToFit="0" vertical="center" wrapText="0"/>
    </xf>
    <xf borderId="43" fillId="0" fontId="1" numFmtId="164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44" fillId="0" fontId="2" numFmtId="0" xfId="0" applyAlignment="1" applyBorder="1" applyFont="1">
      <alignment horizontal="left" shrinkToFit="0" vertical="center" wrapText="0"/>
    </xf>
    <xf borderId="45" fillId="0" fontId="2" numFmtId="0" xfId="0" applyAlignment="1" applyBorder="1" applyFont="1">
      <alignment shrinkToFit="0" vertical="center" wrapText="0"/>
    </xf>
    <xf borderId="45" fillId="0" fontId="1" numFmtId="164" xfId="0" applyAlignment="1" applyBorder="1" applyFont="1" applyNumberFormat="1">
      <alignment shrinkToFit="0" vertical="bottom" wrapText="0"/>
    </xf>
    <xf borderId="45" fillId="0" fontId="1" numFmtId="164" xfId="0" applyAlignment="1" applyBorder="1" applyFont="1" applyNumberFormat="1">
      <alignment horizontal="right" shrinkToFit="0" vertical="center" wrapText="0"/>
    </xf>
    <xf borderId="46" fillId="0" fontId="3" numFmtId="164" xfId="0" applyAlignment="1" applyBorder="1" applyFont="1" applyNumberFormat="1">
      <alignment shrinkToFit="0" vertical="bottom" wrapText="0"/>
    </xf>
    <xf borderId="27" fillId="0" fontId="1" numFmtId="0" xfId="0" applyAlignment="1" applyBorder="1" applyFont="1">
      <alignment horizontal="left" shrinkToFit="0" vertical="center" wrapText="0"/>
    </xf>
    <xf borderId="28" fillId="0" fontId="1" numFmtId="0" xfId="0" applyAlignment="1" applyBorder="1" applyFont="1">
      <alignment horizontal="left" shrinkToFit="0" vertical="center" wrapText="0"/>
    </xf>
    <xf borderId="39" fillId="0" fontId="3" numFmtId="164" xfId="0" applyAlignment="1" applyBorder="1" applyFont="1" applyNumberFormat="1">
      <alignment shrinkToFit="0" vertical="bottom" wrapText="0"/>
    </xf>
    <xf borderId="31" fillId="2" fontId="5" numFmtId="0" xfId="0" applyAlignment="1" applyBorder="1" applyFont="1">
      <alignment shrinkToFit="0" vertical="bottom" wrapText="0"/>
    </xf>
    <xf borderId="32" fillId="2" fontId="5" numFmtId="0" xfId="0" applyAlignment="1" applyBorder="1" applyFont="1">
      <alignment shrinkToFit="0" vertical="bottom" wrapText="0"/>
    </xf>
    <xf borderId="34" fillId="0" fontId="11" numFmtId="0" xfId="0" applyAlignment="1" applyBorder="1" applyFont="1">
      <alignment shrinkToFit="0" vertical="bottom" wrapText="0"/>
    </xf>
    <xf borderId="24" fillId="0" fontId="11" numFmtId="0" xfId="0" applyAlignment="1" applyBorder="1" applyFont="1">
      <alignment shrinkToFit="0" vertical="bottom" wrapText="0"/>
    </xf>
    <xf borderId="30" fillId="0" fontId="1" numFmtId="164" xfId="0" applyAlignment="1" applyBorder="1" applyFont="1" applyNumberFormat="1">
      <alignment shrinkToFit="0" vertical="bottom" wrapText="0"/>
    </xf>
    <xf borderId="28" fillId="0" fontId="1" numFmtId="0" xfId="0" applyAlignment="1" applyBorder="1" applyFont="1">
      <alignment shrinkToFit="0" vertical="bottom" wrapText="0"/>
    </xf>
    <xf borderId="29" fillId="0" fontId="2" numFmtId="164" xfId="0" applyAlignment="1" applyBorder="1" applyFont="1" applyNumberFormat="1">
      <alignment horizontal="right" shrinkToFit="0" vertical="center" wrapText="0"/>
    </xf>
    <xf borderId="39" fillId="0" fontId="1" numFmtId="164" xfId="0" applyAlignment="1" applyBorder="1" applyFont="1" applyNumberFormat="1">
      <alignment shrinkToFit="0" vertical="bottom" wrapText="0"/>
    </xf>
    <xf borderId="31" fillId="2" fontId="3" numFmtId="0" xfId="0" applyAlignment="1" applyBorder="1" applyFont="1">
      <alignment shrinkToFit="0" vertical="center" wrapText="0"/>
    </xf>
    <xf borderId="32" fillId="2" fontId="11" numFmtId="0" xfId="0" applyAlignment="1" applyBorder="1" applyFont="1">
      <alignment shrinkToFit="0" vertical="bottom" wrapText="0"/>
    </xf>
    <xf borderId="32" fillId="2" fontId="3" numFmtId="0" xfId="0" applyAlignment="1" applyBorder="1" applyFont="1">
      <alignment shrinkToFit="0" vertical="bottom" wrapText="0"/>
    </xf>
    <xf borderId="0" fillId="0" fontId="1" numFmtId="3" xfId="0" applyAlignment="1" applyFont="1" applyNumberFormat="1">
      <alignment horizontal="righ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horizontal="right" shrinkToFit="0" vertical="center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2" numFmtId="164" xfId="0" applyAlignment="1" applyFont="1" applyNumberFormat="1">
      <alignment horizontal="right" shrinkToFit="0" vertical="center" wrapText="0"/>
    </xf>
    <xf borderId="0" fillId="0" fontId="7" numFmtId="164" xfId="0" applyAlignment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2" numFmtId="3" xfId="0" applyAlignment="1" applyFont="1" applyNumberFormat="1">
      <alignment horizontal="right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shrinkToFit="0" vertical="center" wrapText="0"/>
    </xf>
    <xf borderId="0" fillId="0" fontId="12" numFmtId="165" xfId="0" applyAlignment="1" applyFont="1" applyNumberFormat="1">
      <alignment horizontal="righ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4" numFmtId="165" xfId="0" applyAlignment="1" applyFont="1" applyNumberFormat="1">
      <alignment horizontal="right" shrinkToFit="0" vertical="center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horizontal="right" shrinkToFit="0" vertical="center" wrapText="0"/>
    </xf>
    <xf borderId="0" fillId="0" fontId="14" numFmtId="0" xfId="0" applyAlignment="1" applyFont="1">
      <alignment shrinkToFit="0" vertical="center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center" shrinkToFit="0" vertical="center" wrapText="0"/>
    </xf>
    <xf borderId="0" fillId="0" fontId="15" numFmtId="164" xfId="0" applyAlignment="1" applyFont="1" applyNumberFormat="1">
      <alignment shrinkToFit="0" vertical="bottom" wrapText="0"/>
    </xf>
    <xf borderId="0" fillId="0" fontId="16" numFmtId="0" xfId="0" applyAlignment="1" applyFont="1">
      <alignment horizontal="left" shrinkToFit="0" vertical="center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1" fillId="2" fontId="19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8" fillId="0" fontId="2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15" fillId="0" fontId="2" numFmtId="0" xfId="0" applyAlignment="1" applyBorder="1" applyFont="1">
      <alignment horizontal="center" shrinkToFit="0" vertical="center" wrapText="0"/>
    </xf>
    <xf borderId="16" fillId="0" fontId="10" numFmtId="0" xfId="0" applyBorder="1" applyFont="1"/>
    <xf borderId="47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readingOrder="0" shrinkToFit="0" vertical="center" wrapText="0"/>
    </xf>
    <xf borderId="25" fillId="3" fontId="1" numFmtId="164" xfId="0" applyAlignment="1" applyBorder="1" applyFont="1" applyNumberFormat="1">
      <alignment horizontal="center" shrinkToFit="0" vertical="center" wrapText="0"/>
    </xf>
    <xf borderId="25" fillId="0" fontId="1" numFmtId="164" xfId="0" applyAlignment="1" applyBorder="1" applyFont="1" applyNumberFormat="1">
      <alignment horizontal="center" shrinkToFit="0" vertical="center" wrapText="0"/>
    </xf>
    <xf borderId="25" fillId="0" fontId="2" numFmtId="164" xfId="0" applyAlignment="1" applyBorder="1" applyFont="1" applyNumberFormat="1">
      <alignment horizontal="center" shrinkToFit="0" vertical="center" wrapText="0"/>
    </xf>
    <xf borderId="25" fillId="0" fontId="5" numFmtId="164" xfId="0" applyAlignment="1" applyBorder="1" applyFont="1" applyNumberFormat="1">
      <alignment horizontal="center" shrinkToFit="0" vertical="center" wrapText="0"/>
    </xf>
    <xf borderId="25" fillId="0" fontId="1" numFmtId="164" xfId="0" applyAlignment="1" applyBorder="1" applyFont="1" applyNumberFormat="1">
      <alignment horizontal="center" shrinkToFit="0" vertical="center" wrapText="1"/>
    </xf>
    <xf borderId="24" fillId="0" fontId="1" numFmtId="164" xfId="0" applyAlignment="1" applyBorder="1" applyFont="1" applyNumberFormat="1">
      <alignment horizontal="center" shrinkToFit="0" vertical="center" wrapText="0"/>
    </xf>
    <xf borderId="23" fillId="2" fontId="1" numFmtId="164" xfId="0" applyAlignment="1" applyBorder="1" applyFont="1" applyNumberFormat="1">
      <alignment horizontal="center" shrinkToFit="0" vertical="center" wrapText="0"/>
    </xf>
    <xf borderId="30" fillId="0" fontId="2" numFmtId="164" xfId="0" applyAlignment="1" applyBorder="1" applyFont="1" applyNumberFormat="1">
      <alignment horizontal="center" shrinkToFit="0" vertical="center" wrapText="0"/>
    </xf>
    <xf borderId="25" fillId="0" fontId="2" numFmtId="164" xfId="0" applyAlignment="1" applyBorder="1" applyFont="1" applyNumberFormat="1">
      <alignment horizontal="center" shrinkToFit="0" vertical="center" wrapText="1"/>
    </xf>
    <xf borderId="25" fillId="2" fontId="1" numFmtId="164" xfId="0" applyAlignment="1" applyBorder="1" applyFont="1" applyNumberFormat="1">
      <alignment horizontal="center" shrinkToFit="0" vertical="center" wrapText="0"/>
    </xf>
    <xf borderId="25" fillId="2" fontId="1" numFmtId="164" xfId="0" applyAlignment="1" applyBorder="1" applyFont="1" applyNumberFormat="1">
      <alignment horizontal="center" shrinkToFit="0" vertical="center" wrapText="1"/>
    </xf>
    <xf borderId="25" fillId="3" fontId="5" numFmtId="164" xfId="0" applyAlignment="1" applyBorder="1" applyFont="1" applyNumberFormat="1">
      <alignment horizontal="center" shrinkToFit="0" vertical="center" wrapText="0"/>
    </xf>
    <xf borderId="23" fillId="3" fontId="1" numFmtId="164" xfId="0" applyAlignment="1" applyBorder="1" applyFont="1" applyNumberFormat="1">
      <alignment horizontal="center" shrinkToFit="0" vertical="center" wrapText="0"/>
    </xf>
    <xf borderId="32" fillId="2" fontId="6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shrinkToFit="0" vertical="bottom" wrapText="0"/>
    </xf>
    <xf borderId="34" fillId="0" fontId="1" numFmtId="0" xfId="0" applyAlignment="1" applyBorder="1" applyFont="1">
      <alignment shrinkToFit="0" vertical="bottom" wrapText="0"/>
    </xf>
    <xf borderId="24" fillId="0" fontId="1" numFmtId="0" xfId="0" applyAlignment="1" applyBorder="1" applyFont="1">
      <alignment horizontal="center" shrinkToFit="0" vertical="bottom" wrapText="0"/>
    </xf>
    <xf borderId="24" fillId="0" fontId="2" numFmtId="165" xfId="0" applyAlignment="1" applyBorder="1" applyFont="1" applyNumberFormat="1">
      <alignment horizontal="right" shrinkToFit="0" vertical="center" wrapText="0"/>
    </xf>
    <xf borderId="24" fillId="0" fontId="2" numFmtId="164" xfId="0" applyAlignment="1" applyBorder="1" applyFont="1" applyNumberFormat="1">
      <alignment horizontal="right" shrinkToFit="0" vertical="center" wrapText="0"/>
    </xf>
    <xf borderId="30" fillId="0" fontId="2" numFmtId="164" xfId="0" applyAlignment="1" applyBorder="1" applyFont="1" applyNumberFormat="1">
      <alignment shrinkToFit="0" vertical="bottom" wrapText="0"/>
    </xf>
    <xf borderId="27" fillId="0" fontId="2" numFmtId="0" xfId="0" applyAlignment="1" applyBorder="1" applyFont="1">
      <alignment shrinkToFit="0" vertical="center" wrapText="0"/>
    </xf>
    <xf borderId="35" fillId="0" fontId="1" numFmtId="164" xfId="0" applyAlignment="1" applyBorder="1" applyFont="1" applyNumberFormat="1">
      <alignment shrinkToFit="0" vertical="bottom" wrapText="0"/>
    </xf>
    <xf borderId="27" fillId="0" fontId="1" numFmtId="0" xfId="0" applyAlignment="1" applyBorder="1" applyFont="1">
      <alignment shrinkToFit="0" vertical="bottom" wrapText="0"/>
    </xf>
    <xf borderId="25" fillId="0" fontId="1" numFmtId="165" xfId="0" applyAlignment="1" applyBorder="1" applyFont="1" applyNumberFormat="1">
      <alignment horizontal="right" shrinkToFit="0" vertical="center" wrapText="0"/>
    </xf>
    <xf borderId="35" fillId="0" fontId="2" numFmtId="164" xfId="0" applyAlignment="1" applyBorder="1" applyFont="1" applyNumberFormat="1">
      <alignment shrinkToFit="0" vertical="bottom" wrapText="0"/>
    </xf>
    <xf borderId="29" fillId="0" fontId="1" numFmtId="165" xfId="0" applyAlignment="1" applyBorder="1" applyFont="1" applyNumberFormat="1">
      <alignment horizontal="right" shrinkToFit="0" vertical="center" wrapText="0"/>
    </xf>
    <xf borderId="32" fillId="2" fontId="1" numFmtId="3" xfId="0" applyAlignment="1" applyBorder="1" applyFont="1" applyNumberFormat="1">
      <alignment horizontal="right" shrinkToFit="0" vertical="center" wrapText="0"/>
    </xf>
    <xf borderId="32" fillId="2" fontId="3" numFmtId="0" xfId="0" applyAlignment="1" applyBorder="1" applyFont="1">
      <alignment horizontal="center" shrinkToFit="0" vertical="center" wrapText="0"/>
    </xf>
    <xf borderId="24" fillId="0" fontId="1" numFmtId="165" xfId="0" applyAlignment="1" applyBorder="1" applyFont="1" applyNumberFormat="1">
      <alignment horizontal="right" shrinkToFit="0" vertical="center" wrapText="0"/>
    </xf>
    <xf borderId="25" fillId="2" fontId="1" numFmtId="165" xfId="0" applyAlignment="1" applyBorder="1" applyFont="1" applyNumberFormat="1">
      <alignment horizontal="right" shrinkToFit="0" vertical="center" wrapText="0"/>
    </xf>
    <xf borderId="25" fillId="0" fontId="5" numFmtId="165" xfId="0" applyAlignment="1" applyBorder="1" applyFont="1" applyNumberFormat="1">
      <alignment horizontal="right" shrinkToFit="0" vertical="center" wrapText="0"/>
    </xf>
    <xf borderId="24" fillId="0" fontId="3" numFmtId="0" xfId="0" applyAlignment="1" applyBorder="1" applyFont="1">
      <alignment horizontal="center" shrinkToFit="0" vertical="center" wrapText="0"/>
    </xf>
    <xf borderId="25" fillId="0" fontId="3" numFmtId="0" xfId="0" applyAlignment="1" applyBorder="1" applyFont="1">
      <alignment horizontal="center" shrinkToFit="0" vertical="center" wrapText="0"/>
    </xf>
    <xf borderId="25" fillId="2" fontId="5" numFmtId="164" xfId="0" applyAlignment="1" applyBorder="1" applyFont="1" applyNumberFormat="1">
      <alignment horizontal="right" shrinkToFit="0" vertical="center" wrapText="0"/>
    </xf>
    <xf borderId="25" fillId="2" fontId="5" numFmtId="165" xfId="0" applyAlignment="1" applyBorder="1" applyFont="1" applyNumberFormat="1">
      <alignment horizontal="right" shrinkToFit="0" vertical="center" wrapText="0"/>
    </xf>
    <xf borderId="24" fillId="0" fontId="5" numFmtId="164" xfId="0" applyAlignment="1" applyBorder="1" applyFont="1" applyNumberFormat="1">
      <alignment horizontal="center" shrinkToFit="0" vertical="center" wrapText="0"/>
    </xf>
    <xf borderId="25" fillId="0" fontId="5" numFmtId="0" xfId="0" applyAlignment="1" applyBorder="1" applyFont="1">
      <alignment shrinkToFit="0" vertical="bottom" wrapText="0"/>
    </xf>
    <xf borderId="25" fillId="3" fontId="5" numFmtId="164" xfId="0" applyAlignment="1" applyBorder="1" applyFont="1" applyNumberFormat="1">
      <alignment horizontal="right" shrinkToFit="0" vertical="center" wrapText="0"/>
    </xf>
    <xf borderId="25" fillId="3" fontId="1" numFmtId="165" xfId="0" applyAlignment="1" applyBorder="1" applyFont="1" applyNumberFormat="1">
      <alignment horizontal="right" shrinkToFit="0" vertical="center" wrapText="0"/>
    </xf>
    <xf borderId="23" fillId="3" fontId="1" numFmtId="165" xfId="0" applyAlignment="1" applyBorder="1" applyFont="1" applyNumberFormat="1">
      <alignment horizontal="right" shrinkToFit="0" vertical="center" wrapText="0"/>
    </xf>
    <xf borderId="23" fillId="2" fontId="1" numFmtId="165" xfId="0" applyAlignment="1" applyBorder="1" applyFont="1" applyNumberFormat="1">
      <alignment horizontal="right" shrinkToFit="0" vertical="center" wrapText="0"/>
    </xf>
    <xf borderId="24" fillId="0" fontId="5" numFmtId="165" xfId="0" applyAlignment="1" applyBorder="1" applyFont="1" applyNumberFormat="1">
      <alignment horizontal="right" shrinkToFit="0" vertical="center" wrapText="0"/>
    </xf>
    <xf borderId="25" fillId="3" fontId="17" numFmtId="0" xfId="0" applyAlignment="1" applyBorder="1" applyFont="1">
      <alignment shrinkToFit="0" vertical="bottom" wrapText="0"/>
    </xf>
    <xf borderId="25" fillId="3" fontId="1" numFmtId="2" xfId="0" applyAlignment="1" applyBorder="1" applyFont="1" applyNumberFormat="1">
      <alignment shrinkToFit="0" vertical="bottom" wrapText="0"/>
    </xf>
    <xf borderId="0" fillId="0" fontId="21" numFmtId="164" xfId="0" applyAlignment="1" applyFont="1" applyNumberFormat="1">
      <alignment shrinkToFit="0" vertical="bottom" wrapText="0"/>
    </xf>
    <xf borderId="36" fillId="3" fontId="1" numFmtId="0" xfId="0" applyAlignment="1" applyBorder="1" applyFont="1">
      <alignment shrinkToFit="0" vertical="bottom" wrapText="0"/>
    </xf>
    <xf borderId="36" fillId="3" fontId="1" numFmtId="165" xfId="0" applyAlignment="1" applyBorder="1" applyFont="1" applyNumberFormat="1">
      <alignment horizontal="right" shrinkToFit="0" vertical="center" wrapText="0"/>
    </xf>
    <xf borderId="41" fillId="0" fontId="1" numFmtId="3" xfId="0" applyAlignment="1" applyBorder="1" applyFont="1" applyNumberFormat="1">
      <alignment horizontal="right" shrinkToFit="0" vertical="center" wrapText="0"/>
    </xf>
    <xf borderId="42" fillId="0" fontId="11" numFmtId="0" xfId="0" applyAlignment="1" applyBorder="1" applyFont="1">
      <alignment shrinkToFit="0" vertical="bottom" wrapText="0"/>
    </xf>
    <xf borderId="42" fillId="0" fontId="3" numFmtId="0" xfId="0" applyAlignment="1" applyBorder="1" applyFont="1">
      <alignment horizontal="left" shrinkToFit="0" vertical="center" wrapText="0"/>
    </xf>
    <xf borderId="42" fillId="0" fontId="3" numFmtId="164" xfId="0" applyAlignment="1" applyBorder="1" applyFont="1" applyNumberFormat="1">
      <alignment shrinkToFit="0" vertical="bottom" wrapText="0"/>
    </xf>
    <xf borderId="48" fillId="0" fontId="3" numFmtId="164" xfId="0" applyAlignment="1" applyBorder="1" applyFont="1" applyNumberFormat="1">
      <alignment shrinkToFit="0" vertical="bottom" wrapText="0"/>
    </xf>
    <xf borderId="42" fillId="0" fontId="1" numFmtId="165" xfId="0" applyAlignment="1" applyBorder="1" applyFont="1" applyNumberFormat="1">
      <alignment horizontal="right" shrinkToFit="0" vertical="center" wrapText="0"/>
    </xf>
    <xf borderId="48" fillId="0" fontId="1" numFmtId="164" xfId="0" applyAlignment="1" applyBorder="1" applyFont="1" applyNumberFormat="1">
      <alignment shrinkToFit="0" vertical="bottom" wrapText="0"/>
    </xf>
    <xf borderId="31" fillId="2" fontId="11" numFmtId="3" xfId="0" applyAlignment="1" applyBorder="1" applyFont="1" applyNumberFormat="1">
      <alignment horizontal="right" shrinkToFit="0" vertical="center" wrapText="0"/>
    </xf>
    <xf borderId="32" fillId="2" fontId="11" numFmtId="0" xfId="0" applyAlignment="1" applyBorder="1" applyFont="1">
      <alignment horizontal="left" shrinkToFit="0" vertical="center" wrapText="0"/>
    </xf>
    <xf borderId="32" fillId="2" fontId="11" numFmtId="0" xfId="0" applyAlignment="1" applyBorder="1" applyFont="1">
      <alignment shrinkToFit="0" vertical="center" wrapText="0"/>
    </xf>
    <xf borderId="0" fillId="0" fontId="23" numFmtId="3" xfId="0" applyAlignment="1" applyFont="1" applyNumberFormat="1">
      <alignment horizontal="right" shrinkToFit="0" vertical="center" wrapText="0"/>
    </xf>
    <xf borderId="0" fillId="0" fontId="23" numFmtId="0" xfId="0" applyAlignment="1" applyFont="1">
      <alignment horizontal="left" shrinkToFit="0" vertical="center" wrapText="0"/>
    </xf>
    <xf borderId="0" fillId="0" fontId="23" numFmtId="0" xfId="0" applyAlignment="1" applyFont="1">
      <alignment shrinkToFit="0" vertical="center" wrapText="0"/>
    </xf>
    <xf borderId="0" fillId="0" fontId="23" numFmtId="0" xfId="0" applyAlignment="1" applyFont="1">
      <alignment shrinkToFit="0" vertical="bottom" wrapText="0"/>
    </xf>
    <xf borderId="0" fillId="0" fontId="23" numFmtId="164" xfId="0" applyAlignment="1" applyFont="1" applyNumberFormat="1">
      <alignment horizontal="right" shrinkToFit="0" vertical="center" wrapText="0"/>
    </xf>
    <xf borderId="0" fillId="0" fontId="23" numFmtId="165" xfId="0" applyAlignment="1" applyFont="1" applyNumberFormat="1">
      <alignment horizontal="right" shrinkToFit="0" vertical="center" wrapText="0"/>
    </xf>
    <xf borderId="0" fillId="0" fontId="23" numFmtId="164" xfId="0" applyAlignment="1" applyFont="1" applyNumberFormat="1">
      <alignment shrinkToFit="0" vertical="bottom" wrapText="0"/>
    </xf>
    <xf borderId="0" fillId="0" fontId="24" numFmtId="0" xfId="0" applyAlignment="1" applyFont="1">
      <alignment horizontal="left" shrinkToFit="0" vertical="center" wrapText="0"/>
    </xf>
    <xf borderId="0" fillId="0" fontId="25" numFmtId="0" xfId="0" applyAlignment="1" applyFont="1">
      <alignment shrinkToFit="0" vertical="bottom" wrapText="0"/>
    </xf>
    <xf borderId="0" fillId="0" fontId="24" numFmtId="164" xfId="0" applyAlignment="1" applyFont="1" applyNumberFormat="1">
      <alignment shrinkToFit="0" vertical="bottom" wrapText="0"/>
    </xf>
    <xf borderId="0" fillId="0" fontId="24" numFmtId="165" xfId="0" applyAlignment="1" applyFont="1" applyNumberFormat="1">
      <alignment horizontal="right" shrinkToFit="0" vertical="center" wrapText="0"/>
    </xf>
    <xf borderId="0" fillId="0" fontId="26" numFmtId="164" xfId="0" applyAlignment="1" applyFont="1" applyNumberFormat="1">
      <alignment horizontal="right" shrinkToFit="0" vertical="center" wrapText="0"/>
    </xf>
    <xf borderId="0" fillId="0" fontId="26" numFmtId="0" xfId="0" applyAlignment="1" applyFont="1">
      <alignment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</xdr:row>
      <xdr:rowOff>0</xdr:rowOff>
    </xdr:from>
    <xdr:ext cx="609600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</xdr:colOff>
      <xdr:row>1</xdr:row>
      <xdr:rowOff>47625</xdr:rowOff>
    </xdr:from>
    <xdr:ext cx="6000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66675</xdr:colOff>
      <xdr:row>1</xdr:row>
      <xdr:rowOff>47625</xdr:rowOff>
    </xdr:from>
    <xdr:ext cx="600075" cy="714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4.43" defaultRowHeight="15.0"/>
  <cols>
    <col customWidth="1" min="1" max="1" width="1.86"/>
    <col customWidth="1" min="2" max="2" width="2.29"/>
    <col customWidth="1" min="3" max="3" width="18.86"/>
    <col customWidth="1" min="4" max="4" width="16.14"/>
    <col customWidth="1" min="5" max="5" width="12.0"/>
    <col customWidth="1" min="6" max="6" width="9.86"/>
    <col customWidth="1" min="7" max="7" width="12.57"/>
    <col customWidth="1" hidden="1" min="8" max="8" width="12.57"/>
    <col customWidth="1" min="9" max="9" width="13.43"/>
    <col customWidth="1" min="10" max="10" width="11.86"/>
    <col customWidth="1" min="11" max="11" width="12.14"/>
    <col customWidth="1" min="12" max="12" width="13.29"/>
    <col customWidth="1" min="13" max="13" width="12.14"/>
    <col customWidth="1" min="14" max="14" width="12.0"/>
    <col customWidth="1" min="15" max="16" width="12.14"/>
    <col customWidth="1" hidden="1" min="17" max="17" width="12.0"/>
    <col customWidth="1" min="18" max="19" width="12.43"/>
    <col customWidth="1" min="20" max="20" width="11.57"/>
    <col customWidth="1" hidden="1" min="21" max="21" width="14.0"/>
    <col customWidth="1" min="22" max="22" width="13.71"/>
    <col customWidth="1" min="23" max="23" width="11.43"/>
    <col customWidth="1" min="24" max="26" width="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1"/>
      <c r="B2" s="1"/>
      <c r="C2" s="1"/>
      <c r="D2" s="2" t="s">
        <v>0</v>
      </c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1"/>
      <c r="D3" s="2" t="s">
        <v>1</v>
      </c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1"/>
      <c r="D4" s="2" t="s">
        <v>2</v>
      </c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1"/>
      <c r="D5" s="3" t="s">
        <v>3</v>
      </c>
      <c r="E5" s="3" t="str">
        <f>+'rnF '!E5:H5</f>
        <v>Nov. 24 to Dec. 08, 2025</v>
      </c>
      <c r="F5" s="3"/>
      <c r="G5" s="4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/>
    </row>
    <row r="6" ht="15.75" customHeight="1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5.75" customHeight="1">
      <c r="A8" s="1"/>
      <c r="B8" s="1"/>
      <c r="C8" s="2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5.75" customHeight="1">
      <c r="A9" s="1"/>
      <c r="B9" s="1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customHeight="1">
      <c r="A11" s="5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 t="s">
        <v>5</v>
      </c>
      <c r="O11" s="9" t="s">
        <v>6</v>
      </c>
      <c r="P11" s="10"/>
      <c r="Q11" s="7"/>
      <c r="R11" s="7"/>
      <c r="S11" s="11"/>
      <c r="T11" s="11" t="s">
        <v>7</v>
      </c>
      <c r="U11" s="12"/>
      <c r="V11" s="13"/>
      <c r="W11" s="14"/>
    </row>
    <row r="12" ht="16.5" customHeight="1">
      <c r="A12" s="5"/>
      <c r="B12" s="15"/>
      <c r="C12" s="7"/>
      <c r="D12" s="7"/>
      <c r="E12" s="16" t="s">
        <v>8</v>
      </c>
      <c r="F12" s="16" t="s">
        <v>9</v>
      </c>
      <c r="G12" s="17" t="s">
        <v>10</v>
      </c>
      <c r="H12" s="17" t="s">
        <v>10</v>
      </c>
      <c r="I12" s="9" t="s">
        <v>11</v>
      </c>
      <c r="J12" s="9" t="s">
        <v>12</v>
      </c>
      <c r="K12" s="9" t="s">
        <v>13</v>
      </c>
      <c r="L12" s="9" t="s">
        <v>14</v>
      </c>
      <c r="M12" s="9" t="s">
        <v>15</v>
      </c>
      <c r="N12" s="18" t="s">
        <v>16</v>
      </c>
      <c r="O12" s="9" t="s">
        <v>17</v>
      </c>
      <c r="P12" s="9" t="s">
        <v>18</v>
      </c>
      <c r="Q12" s="19" t="s">
        <v>19</v>
      </c>
      <c r="R12" s="11" t="s">
        <v>20</v>
      </c>
      <c r="S12" s="20" t="s">
        <v>21</v>
      </c>
      <c r="T12" s="20" t="s">
        <v>22</v>
      </c>
      <c r="U12" s="9" t="s">
        <v>23</v>
      </c>
      <c r="V12" s="21"/>
      <c r="W12" s="14"/>
    </row>
    <row r="13" ht="16.5" customHeight="1">
      <c r="A13" s="22"/>
      <c r="B13" s="23"/>
      <c r="C13" s="24"/>
      <c r="D13" s="24"/>
      <c r="E13" s="25" t="s">
        <v>24</v>
      </c>
      <c r="F13" s="25" t="s">
        <v>24</v>
      </c>
      <c r="G13" s="25" t="s">
        <v>24</v>
      </c>
      <c r="H13" s="25" t="s">
        <v>24</v>
      </c>
      <c r="I13" s="26" t="s">
        <v>25</v>
      </c>
      <c r="J13" s="26" t="s">
        <v>26</v>
      </c>
      <c r="K13" s="26" t="s">
        <v>24</v>
      </c>
      <c r="L13" s="26" t="s">
        <v>27</v>
      </c>
      <c r="M13" s="26" t="s">
        <v>28</v>
      </c>
      <c r="N13" s="18" t="s">
        <v>29</v>
      </c>
      <c r="O13" s="26" t="s">
        <v>30</v>
      </c>
      <c r="P13" s="26" t="s">
        <v>31</v>
      </c>
      <c r="Q13" s="27" t="s">
        <v>32</v>
      </c>
      <c r="R13" s="20" t="s">
        <v>33</v>
      </c>
      <c r="S13" s="28" t="s">
        <v>34</v>
      </c>
      <c r="T13" s="28" t="s">
        <v>35</v>
      </c>
      <c r="U13" s="26" t="s">
        <v>36</v>
      </c>
      <c r="V13" s="29" t="s">
        <v>37</v>
      </c>
      <c r="W13" s="14"/>
    </row>
    <row r="14" ht="15.75" customHeight="1">
      <c r="A14" s="22"/>
      <c r="B14" s="30" t="s">
        <v>38</v>
      </c>
      <c r="C14" s="1"/>
      <c r="D14" s="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2"/>
      <c r="W14" s="14"/>
    </row>
    <row r="15" ht="15.0" customHeight="1">
      <c r="A15" s="2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33"/>
      <c r="W15" s="14"/>
    </row>
    <row r="16" ht="15.75" customHeight="1">
      <c r="A16" s="34">
        <v>1.0</v>
      </c>
      <c r="B16" s="35">
        <v>1.0</v>
      </c>
      <c r="C16" s="36" t="s">
        <v>39</v>
      </c>
      <c r="D16" s="37"/>
      <c r="E16" s="38">
        <v>1385.0</v>
      </c>
      <c r="F16" s="38"/>
      <c r="G16" s="39">
        <v>1345.91</v>
      </c>
      <c r="H16" s="39"/>
      <c r="I16" s="40">
        <v>1700.0</v>
      </c>
      <c r="J16" s="40">
        <v>1000.0</v>
      </c>
      <c r="K16" s="41"/>
      <c r="L16" s="42">
        <v>1000.0</v>
      </c>
      <c r="M16" s="43">
        <v>775.0</v>
      </c>
      <c r="N16" s="44"/>
      <c r="O16" s="44"/>
      <c r="P16" s="43">
        <v>125.0</v>
      </c>
      <c r="Q16" s="45"/>
      <c r="R16" s="46">
        <v>821.82</v>
      </c>
      <c r="S16" s="41"/>
      <c r="T16" s="41"/>
      <c r="U16" s="41"/>
      <c r="V16" s="47">
        <f t="shared" ref="V16:V18" si="1">SUM(E16:U16)</f>
        <v>8152.73</v>
      </c>
      <c r="W16" s="48"/>
      <c r="X16" s="49"/>
      <c r="Y16" s="49"/>
      <c r="Z16" s="49"/>
    </row>
    <row r="17" ht="15.75" customHeight="1">
      <c r="A17" s="50"/>
      <c r="B17" s="51"/>
      <c r="C17" s="52"/>
      <c r="D17" s="53"/>
      <c r="E17" s="54"/>
      <c r="F17" s="54"/>
      <c r="G17" s="55"/>
      <c r="H17" s="55"/>
      <c r="I17" s="56"/>
      <c r="J17" s="56"/>
      <c r="K17" s="56"/>
      <c r="L17" s="57"/>
      <c r="M17" s="45"/>
      <c r="N17" s="45"/>
      <c r="O17" s="45"/>
      <c r="P17" s="45"/>
      <c r="Q17" s="45"/>
      <c r="R17" s="45"/>
      <c r="S17" s="56"/>
      <c r="T17" s="56"/>
      <c r="U17" s="56"/>
      <c r="V17" s="47">
        <f t="shared" si="1"/>
        <v>0</v>
      </c>
      <c r="W17" s="14"/>
    </row>
    <row r="18" ht="15.75" customHeight="1">
      <c r="A18" s="58">
        <v>2.0</v>
      </c>
      <c r="B18" s="59">
        <v>2.0</v>
      </c>
      <c r="C18" s="60" t="s">
        <v>40</v>
      </c>
      <c r="D18" s="61"/>
      <c r="E18" s="54"/>
      <c r="F18" s="54"/>
      <c r="G18" s="62"/>
      <c r="H18" s="62"/>
      <c r="I18" s="63">
        <v>2700.0</v>
      </c>
      <c r="J18" s="40">
        <v>1000.0</v>
      </c>
      <c r="K18" s="56"/>
      <c r="L18" s="57">
        <v>2500.0</v>
      </c>
      <c r="M18" s="46">
        <v>1250.0</v>
      </c>
      <c r="N18" s="46">
        <v>1295.0</v>
      </c>
      <c r="O18" s="44"/>
      <c r="P18" s="43">
        <v>125.0</v>
      </c>
      <c r="Q18" s="45"/>
      <c r="R18" s="46">
        <v>1068.98</v>
      </c>
      <c r="S18" s="56"/>
      <c r="T18" s="63">
        <v>102.68</v>
      </c>
      <c r="U18" s="56"/>
      <c r="V18" s="47">
        <f t="shared" si="1"/>
        <v>10041.66</v>
      </c>
      <c r="W18" s="48"/>
      <c r="X18" s="49"/>
      <c r="Y18" s="49"/>
      <c r="Z18" s="49"/>
    </row>
    <row r="19" ht="16.5" customHeight="1">
      <c r="A19" s="64"/>
      <c r="B19" s="65"/>
      <c r="C19" s="66"/>
      <c r="D19" s="67"/>
      <c r="E19" s="68"/>
      <c r="F19" s="68"/>
      <c r="G19" s="69"/>
      <c r="H19" s="69"/>
      <c r="I19" s="69"/>
      <c r="J19" s="69"/>
      <c r="K19" s="69"/>
      <c r="L19" s="69"/>
      <c r="M19" s="68"/>
      <c r="N19" s="68"/>
      <c r="O19" s="68"/>
      <c r="P19" s="68"/>
      <c r="Q19" s="68"/>
      <c r="R19" s="68"/>
      <c r="S19" s="69"/>
      <c r="T19" s="69"/>
      <c r="U19" s="69"/>
      <c r="V19" s="70"/>
      <c r="W19" s="14"/>
    </row>
    <row r="20" ht="16.5" customHeight="1">
      <c r="A20" s="71"/>
      <c r="B20" s="72"/>
      <c r="C20" s="73"/>
      <c r="D20" s="74" t="s">
        <v>41</v>
      </c>
      <c r="E20" s="75">
        <f t="shared" ref="E20:V20" si="2">SUM(E16:E18)</f>
        <v>1385</v>
      </c>
      <c r="F20" s="75">
        <f t="shared" si="2"/>
        <v>0</v>
      </c>
      <c r="G20" s="75">
        <f t="shared" si="2"/>
        <v>1345.91</v>
      </c>
      <c r="H20" s="75">
        <f t="shared" si="2"/>
        <v>0</v>
      </c>
      <c r="I20" s="75">
        <f t="shared" si="2"/>
        <v>4400</v>
      </c>
      <c r="J20" s="75">
        <f t="shared" si="2"/>
        <v>2000</v>
      </c>
      <c r="K20" s="75">
        <f t="shared" si="2"/>
        <v>0</v>
      </c>
      <c r="L20" s="75">
        <f t="shared" si="2"/>
        <v>3500</v>
      </c>
      <c r="M20" s="75">
        <f t="shared" si="2"/>
        <v>2025</v>
      </c>
      <c r="N20" s="75">
        <f t="shared" si="2"/>
        <v>1295</v>
      </c>
      <c r="O20" s="75">
        <f t="shared" si="2"/>
        <v>0</v>
      </c>
      <c r="P20" s="75">
        <f t="shared" si="2"/>
        <v>250</v>
      </c>
      <c r="Q20" s="75">
        <f t="shared" si="2"/>
        <v>0</v>
      </c>
      <c r="R20" s="75">
        <f t="shared" si="2"/>
        <v>1890.8</v>
      </c>
      <c r="S20" s="75">
        <f t="shared" si="2"/>
        <v>0</v>
      </c>
      <c r="T20" s="75">
        <f t="shared" si="2"/>
        <v>102.68</v>
      </c>
      <c r="U20" s="75">
        <f t="shared" si="2"/>
        <v>0</v>
      </c>
      <c r="V20" s="76">
        <f t="shared" si="2"/>
        <v>18194.39</v>
      </c>
      <c r="W20" s="77"/>
      <c r="X20" s="78"/>
      <c r="Y20" s="78"/>
      <c r="Z20" s="78"/>
    </row>
    <row r="21" ht="15.75" customHeight="1">
      <c r="A21" s="79"/>
      <c r="B21" s="80"/>
      <c r="C21" s="81"/>
      <c r="D21" s="82"/>
      <c r="E21" s="44"/>
      <c r="F21" s="44"/>
      <c r="G21" s="41"/>
      <c r="H21" s="41"/>
      <c r="I21" s="41"/>
      <c r="J21" s="41"/>
      <c r="K21" s="41"/>
      <c r="L21" s="41"/>
      <c r="M21" s="44"/>
      <c r="N21" s="44"/>
      <c r="O21" s="44"/>
      <c r="P21" s="44"/>
      <c r="Q21" s="44"/>
      <c r="R21" s="44"/>
      <c r="S21" s="41"/>
      <c r="T21" s="41"/>
      <c r="U21" s="41"/>
      <c r="V21" s="83"/>
      <c r="W21" s="14"/>
    </row>
    <row r="22" ht="15.75" hidden="1" customHeight="1">
      <c r="A22" s="84"/>
      <c r="B22" s="85"/>
      <c r="C22" s="86"/>
      <c r="D22" s="85"/>
      <c r="E22" s="45"/>
      <c r="F22" s="45"/>
      <c r="G22" s="56"/>
      <c r="H22" s="56"/>
      <c r="I22" s="56"/>
      <c r="J22" s="56"/>
      <c r="K22" s="56"/>
      <c r="L22" s="56"/>
      <c r="M22" s="45"/>
      <c r="N22" s="45"/>
      <c r="O22" s="45"/>
      <c r="P22" s="45"/>
      <c r="Q22" s="45"/>
      <c r="R22" s="45"/>
      <c r="S22" s="56"/>
      <c r="T22" s="56"/>
      <c r="U22" s="56"/>
      <c r="V22" s="87"/>
      <c r="W22" s="14"/>
    </row>
    <row r="23" ht="15.75" hidden="1" customHeight="1">
      <c r="A23" s="84"/>
      <c r="B23" s="85"/>
      <c r="C23" s="86"/>
      <c r="D23" s="85"/>
      <c r="E23" s="45"/>
      <c r="F23" s="45"/>
      <c r="G23" s="56"/>
      <c r="H23" s="56"/>
      <c r="I23" s="56"/>
      <c r="J23" s="56"/>
      <c r="K23" s="56"/>
      <c r="L23" s="56"/>
      <c r="M23" s="45"/>
      <c r="N23" s="45"/>
      <c r="O23" s="45"/>
      <c r="P23" s="45"/>
      <c r="Q23" s="45"/>
      <c r="R23" s="45"/>
      <c r="S23" s="56"/>
      <c r="T23" s="56"/>
      <c r="U23" s="56"/>
      <c r="V23" s="87"/>
      <c r="W23" s="14"/>
    </row>
    <row r="24" ht="15.75" hidden="1" customHeight="1">
      <c r="A24" s="50">
        <v>1.0</v>
      </c>
      <c r="B24" s="51"/>
      <c r="C24" s="52"/>
      <c r="D24" s="53"/>
      <c r="E24" s="45"/>
      <c r="F24" s="45"/>
      <c r="G24" s="45"/>
      <c r="H24" s="45"/>
      <c r="I24" s="45"/>
      <c r="J24" s="56"/>
      <c r="K24" s="56"/>
      <c r="L24" s="56"/>
      <c r="M24" s="45"/>
      <c r="N24" s="45"/>
      <c r="O24" s="45"/>
      <c r="P24" s="45"/>
      <c r="Q24" s="45"/>
      <c r="R24" s="45"/>
      <c r="S24" s="56"/>
      <c r="T24" s="56"/>
      <c r="U24" s="56"/>
      <c r="V24" s="88">
        <f>SUM(E24:T24)</f>
        <v>0</v>
      </c>
      <c r="W24" s="14"/>
    </row>
    <row r="25" ht="15.75" hidden="1" customHeight="1">
      <c r="A25" s="50"/>
      <c r="B25" s="51"/>
      <c r="C25" s="52"/>
      <c r="D25" s="53"/>
      <c r="E25" s="45"/>
      <c r="F25" s="45"/>
      <c r="G25" s="56"/>
      <c r="H25" s="56"/>
      <c r="I25" s="56"/>
      <c r="J25" s="56"/>
      <c r="K25" s="56"/>
      <c r="L25" s="56"/>
      <c r="M25" s="45"/>
      <c r="N25" s="45"/>
      <c r="O25" s="45"/>
      <c r="P25" s="45"/>
      <c r="Q25" s="45"/>
      <c r="R25" s="45"/>
      <c r="S25" s="56"/>
      <c r="T25" s="56"/>
      <c r="U25" s="56"/>
      <c r="V25" s="88"/>
      <c r="W25" s="14"/>
    </row>
    <row r="26" ht="15.75" hidden="1" customHeight="1">
      <c r="A26" s="50">
        <v>2.0</v>
      </c>
      <c r="B26" s="51"/>
      <c r="M26" s="45"/>
      <c r="N26" s="45"/>
      <c r="O26" s="45"/>
      <c r="P26" s="45"/>
      <c r="Q26" s="45"/>
      <c r="R26" s="45"/>
      <c r="S26" s="56"/>
      <c r="T26" s="56"/>
      <c r="U26" s="56"/>
      <c r="V26" s="88"/>
      <c r="W26" s="14"/>
    </row>
    <row r="27" ht="15.75" hidden="1" customHeight="1">
      <c r="A27" s="64"/>
      <c r="B27" s="65"/>
      <c r="C27" s="66"/>
      <c r="D27" s="67"/>
      <c r="E27" s="68"/>
      <c r="F27" s="68"/>
      <c r="G27" s="69"/>
      <c r="H27" s="69"/>
      <c r="I27" s="69"/>
      <c r="J27" s="69"/>
      <c r="K27" s="69"/>
      <c r="L27" s="69"/>
      <c r="M27" s="68"/>
      <c r="N27" s="68"/>
      <c r="O27" s="68"/>
      <c r="P27" s="68"/>
      <c r="Q27" s="68"/>
      <c r="R27" s="68"/>
      <c r="S27" s="69"/>
      <c r="T27" s="69"/>
      <c r="U27" s="69"/>
      <c r="V27" s="88"/>
      <c r="W27" s="14"/>
    </row>
    <row r="28" ht="16.5" hidden="1" customHeight="1">
      <c r="A28" s="89"/>
      <c r="B28" s="90"/>
      <c r="C28" s="91"/>
      <c r="D28" s="92" t="s">
        <v>41</v>
      </c>
      <c r="E28" s="93">
        <f t="shared" ref="E28:T28" si="3">SUM(E24)</f>
        <v>0</v>
      </c>
      <c r="F28" s="93">
        <f t="shared" si="3"/>
        <v>0</v>
      </c>
      <c r="G28" s="93">
        <f t="shared" si="3"/>
        <v>0</v>
      </c>
      <c r="H28" s="93">
        <f t="shared" si="3"/>
        <v>0</v>
      </c>
      <c r="I28" s="93">
        <f t="shared" si="3"/>
        <v>0</v>
      </c>
      <c r="J28" s="93">
        <f t="shared" si="3"/>
        <v>0</v>
      </c>
      <c r="K28" s="93">
        <f t="shared" si="3"/>
        <v>0</v>
      </c>
      <c r="L28" s="93">
        <f t="shared" si="3"/>
        <v>0</v>
      </c>
      <c r="M28" s="93">
        <f t="shared" si="3"/>
        <v>0</v>
      </c>
      <c r="N28" s="93">
        <f t="shared" si="3"/>
        <v>0</v>
      </c>
      <c r="O28" s="93">
        <f t="shared" si="3"/>
        <v>0</v>
      </c>
      <c r="P28" s="93">
        <f t="shared" si="3"/>
        <v>0</v>
      </c>
      <c r="Q28" s="93">
        <f t="shared" si="3"/>
        <v>0</v>
      </c>
      <c r="R28" s="93">
        <f t="shared" si="3"/>
        <v>0</v>
      </c>
      <c r="S28" s="93">
        <f t="shared" si="3"/>
        <v>0</v>
      </c>
      <c r="T28" s="93">
        <f t="shared" si="3"/>
        <v>0</v>
      </c>
      <c r="U28" s="93"/>
      <c r="V28" s="94">
        <f>SUM(V24)</f>
        <v>0</v>
      </c>
      <c r="W28" s="14"/>
    </row>
    <row r="29" ht="15.75" customHeight="1">
      <c r="A29" s="79"/>
      <c r="B29" s="80"/>
      <c r="C29" s="81"/>
      <c r="D29" s="95"/>
      <c r="E29" s="44"/>
      <c r="F29" s="44"/>
      <c r="G29" s="41"/>
      <c r="H29" s="41"/>
      <c r="I29" s="41"/>
      <c r="J29" s="41"/>
      <c r="K29" s="41"/>
      <c r="L29" s="41"/>
      <c r="M29" s="44"/>
      <c r="N29" s="44"/>
      <c r="O29" s="44"/>
      <c r="P29" s="44"/>
      <c r="Q29" s="44"/>
      <c r="R29" s="44"/>
      <c r="S29" s="41"/>
      <c r="T29" s="41"/>
      <c r="U29" s="41"/>
      <c r="V29" s="83"/>
      <c r="W29" s="14"/>
    </row>
    <row r="30" ht="15.75" customHeight="1">
      <c r="A30" s="50"/>
      <c r="B30" s="85" t="s">
        <v>42</v>
      </c>
      <c r="C30" s="86"/>
      <c r="D30" s="86"/>
      <c r="E30" s="45"/>
      <c r="F30" s="45"/>
      <c r="G30" s="56"/>
      <c r="H30" s="56"/>
      <c r="I30" s="56"/>
      <c r="J30" s="56"/>
      <c r="K30" s="56"/>
      <c r="L30" s="56"/>
      <c r="M30" s="45"/>
      <c r="N30" s="45"/>
      <c r="O30" s="45"/>
      <c r="P30" s="45"/>
      <c r="Q30" s="45"/>
      <c r="R30" s="45"/>
      <c r="S30" s="56"/>
      <c r="T30" s="56"/>
      <c r="U30" s="56"/>
      <c r="V30" s="87"/>
      <c r="W30" s="14"/>
    </row>
    <row r="31" ht="15.75" customHeight="1">
      <c r="A31" s="50"/>
      <c r="B31" s="51"/>
      <c r="C31" s="52"/>
      <c r="D31" s="53"/>
      <c r="E31" s="45"/>
      <c r="F31" s="45"/>
      <c r="G31" s="56"/>
      <c r="H31" s="56"/>
      <c r="I31" s="56"/>
      <c r="J31" s="56"/>
      <c r="K31" s="56"/>
      <c r="L31" s="56"/>
      <c r="M31" s="45"/>
      <c r="N31" s="45"/>
      <c r="O31" s="45"/>
      <c r="P31" s="45"/>
      <c r="Q31" s="45"/>
      <c r="R31" s="45"/>
      <c r="S31" s="56"/>
      <c r="T31" s="56"/>
      <c r="U31" s="56"/>
      <c r="V31" s="87"/>
      <c r="W31" s="14"/>
    </row>
    <row r="32" ht="15.75" customHeight="1">
      <c r="A32" s="58">
        <v>1.0</v>
      </c>
      <c r="B32" s="59">
        <v>1.0</v>
      </c>
      <c r="C32" s="60" t="s">
        <v>43</v>
      </c>
      <c r="D32" s="61"/>
      <c r="E32" s="54">
        <v>1500.0</v>
      </c>
      <c r="F32" s="54"/>
      <c r="G32" s="62">
        <v>864.56</v>
      </c>
      <c r="H32" s="62"/>
      <c r="I32" s="63">
        <v>2750.0</v>
      </c>
      <c r="J32" s="63">
        <v>1000.0</v>
      </c>
      <c r="K32" s="56"/>
      <c r="L32" s="56">
        <v>2000.0</v>
      </c>
      <c r="M32" s="45"/>
      <c r="N32" s="46">
        <v>247.5</v>
      </c>
      <c r="O32" s="45"/>
      <c r="P32" s="96">
        <v>125.0</v>
      </c>
      <c r="Q32" s="45"/>
      <c r="R32" s="54"/>
      <c r="S32" s="56"/>
      <c r="T32" s="56"/>
      <c r="U32" s="56"/>
      <c r="V32" s="97">
        <f>SUM(E32:U32)</f>
        <v>8487.06</v>
      </c>
      <c r="W32" s="48"/>
      <c r="X32" s="49"/>
      <c r="Y32" s="49"/>
      <c r="Z32" s="49"/>
    </row>
    <row r="33" ht="15.75" customHeight="1">
      <c r="A33" s="50"/>
      <c r="B33" s="51"/>
      <c r="C33" s="52"/>
      <c r="D33" s="53"/>
      <c r="E33" s="45"/>
      <c r="F33" s="45"/>
      <c r="G33" s="56"/>
      <c r="H33" s="56"/>
      <c r="I33" s="56"/>
      <c r="J33" s="56"/>
      <c r="K33" s="56"/>
      <c r="L33" s="56"/>
      <c r="M33" s="45"/>
      <c r="N33" s="45"/>
      <c r="O33" s="45"/>
      <c r="P33" s="45"/>
      <c r="Q33" s="45"/>
      <c r="R33" s="45"/>
      <c r="S33" s="56"/>
      <c r="T33" s="56"/>
      <c r="U33" s="56"/>
      <c r="V33" s="87"/>
      <c r="W33" s="14"/>
    </row>
    <row r="34" ht="16.5" customHeight="1">
      <c r="A34" s="64"/>
      <c r="B34" s="65"/>
      <c r="C34" s="66"/>
      <c r="D34" s="67"/>
      <c r="E34" s="68"/>
      <c r="F34" s="68"/>
      <c r="G34" s="69"/>
      <c r="H34" s="69"/>
      <c r="I34" s="69"/>
      <c r="J34" s="69"/>
      <c r="K34" s="69"/>
      <c r="L34" s="69"/>
      <c r="M34" s="68"/>
      <c r="N34" s="68"/>
      <c r="O34" s="68"/>
      <c r="P34" s="68"/>
      <c r="Q34" s="68"/>
      <c r="R34" s="68"/>
      <c r="S34" s="69"/>
      <c r="T34" s="69"/>
      <c r="U34" s="69"/>
      <c r="V34" s="88"/>
      <c r="W34" s="14"/>
    </row>
    <row r="35" ht="16.5" customHeight="1">
      <c r="A35" s="71"/>
      <c r="B35" s="72"/>
      <c r="C35" s="73"/>
      <c r="D35" s="74" t="s">
        <v>41</v>
      </c>
      <c r="E35" s="75">
        <f t="shared" ref="E35:V35" si="4">SUM(E32:E34)</f>
        <v>1500</v>
      </c>
      <c r="F35" s="75">
        <f t="shared" si="4"/>
        <v>0</v>
      </c>
      <c r="G35" s="75">
        <f t="shared" si="4"/>
        <v>864.56</v>
      </c>
      <c r="H35" s="75">
        <f t="shared" si="4"/>
        <v>0</v>
      </c>
      <c r="I35" s="75">
        <f t="shared" si="4"/>
        <v>2750</v>
      </c>
      <c r="J35" s="75">
        <f t="shared" si="4"/>
        <v>1000</v>
      </c>
      <c r="K35" s="75">
        <f t="shared" si="4"/>
        <v>0</v>
      </c>
      <c r="L35" s="75">
        <f t="shared" si="4"/>
        <v>2000</v>
      </c>
      <c r="M35" s="75">
        <f t="shared" si="4"/>
        <v>0</v>
      </c>
      <c r="N35" s="75">
        <f t="shared" si="4"/>
        <v>247.5</v>
      </c>
      <c r="O35" s="75">
        <f t="shared" si="4"/>
        <v>0</v>
      </c>
      <c r="P35" s="75">
        <f t="shared" si="4"/>
        <v>125</v>
      </c>
      <c r="Q35" s="75">
        <f t="shared" si="4"/>
        <v>0</v>
      </c>
      <c r="R35" s="75">
        <f t="shared" si="4"/>
        <v>0</v>
      </c>
      <c r="S35" s="75">
        <f t="shared" si="4"/>
        <v>0</v>
      </c>
      <c r="T35" s="75">
        <f t="shared" si="4"/>
        <v>0</v>
      </c>
      <c r="U35" s="75">
        <f t="shared" si="4"/>
        <v>0</v>
      </c>
      <c r="V35" s="76">
        <f t="shared" si="4"/>
        <v>8487.06</v>
      </c>
      <c r="W35" s="77"/>
      <c r="X35" s="78"/>
      <c r="Y35" s="78"/>
      <c r="Z35" s="78"/>
    </row>
    <row r="36" ht="15.75" customHeight="1">
      <c r="A36" s="79"/>
      <c r="B36" s="80"/>
      <c r="C36" s="81"/>
      <c r="D36" s="82"/>
      <c r="E36" s="44"/>
      <c r="F36" s="44"/>
      <c r="G36" s="41"/>
      <c r="H36" s="41"/>
      <c r="I36" s="41"/>
      <c r="J36" s="41"/>
      <c r="K36" s="41"/>
      <c r="L36" s="41"/>
      <c r="M36" s="44"/>
      <c r="N36" s="44"/>
      <c r="O36" s="44"/>
      <c r="P36" s="44"/>
      <c r="Q36" s="44"/>
      <c r="R36" s="44"/>
      <c r="S36" s="41"/>
      <c r="T36" s="41"/>
      <c r="U36" s="41"/>
      <c r="V36" s="83"/>
      <c r="W36" s="14"/>
    </row>
    <row r="37" ht="15.75" customHeight="1">
      <c r="A37" s="50"/>
      <c r="B37" s="85" t="s">
        <v>44</v>
      </c>
      <c r="C37" s="86"/>
      <c r="D37" s="86"/>
      <c r="E37" s="98"/>
      <c r="F37" s="98"/>
      <c r="G37" s="56"/>
      <c r="H37" s="56"/>
      <c r="I37" s="56"/>
      <c r="J37" s="56"/>
      <c r="K37" s="56"/>
      <c r="L37" s="56"/>
      <c r="M37" s="45"/>
      <c r="N37" s="45"/>
      <c r="O37" s="45"/>
      <c r="P37" s="45"/>
      <c r="Q37" s="45"/>
      <c r="R37" s="45"/>
      <c r="S37" s="56"/>
      <c r="T37" s="56"/>
      <c r="U37" s="56"/>
      <c r="V37" s="87"/>
      <c r="W37" s="14"/>
    </row>
    <row r="38" ht="15.75" customHeight="1">
      <c r="A38" s="50"/>
      <c r="B38" s="99"/>
      <c r="C38" s="85"/>
      <c r="D38" s="86"/>
      <c r="E38" s="98"/>
      <c r="F38" s="98"/>
      <c r="G38" s="56"/>
      <c r="H38" s="56"/>
      <c r="I38" s="56"/>
      <c r="J38" s="56"/>
      <c r="K38" s="56"/>
      <c r="L38" s="56"/>
      <c r="M38" s="45"/>
      <c r="N38" s="45"/>
      <c r="O38" s="45"/>
      <c r="P38" s="45"/>
      <c r="Q38" s="45"/>
      <c r="R38" s="45"/>
      <c r="S38" s="56"/>
      <c r="T38" s="56"/>
      <c r="U38" s="56"/>
      <c r="V38" s="87"/>
      <c r="W38" s="14"/>
    </row>
    <row r="39" ht="15.75" customHeight="1">
      <c r="A39" s="58"/>
      <c r="B39" s="100">
        <v>1.0</v>
      </c>
      <c r="C39" s="60" t="s">
        <v>45</v>
      </c>
      <c r="D39" s="61"/>
      <c r="E39" s="54"/>
      <c r="F39" s="54"/>
      <c r="G39" s="62"/>
      <c r="H39" s="62"/>
      <c r="I39" s="63">
        <v>2548.0</v>
      </c>
      <c r="J39" s="63">
        <v>550.0</v>
      </c>
      <c r="K39" s="56"/>
      <c r="L39" s="57">
        <v>2500.0</v>
      </c>
      <c r="M39" s="96">
        <v>125.0</v>
      </c>
      <c r="N39" s="45"/>
      <c r="O39" s="44"/>
      <c r="P39" s="43">
        <v>125.0</v>
      </c>
      <c r="Q39" s="45"/>
      <c r="R39" s="46">
        <v>1206.02</v>
      </c>
      <c r="S39" s="56"/>
      <c r="T39" s="56"/>
      <c r="U39" s="56"/>
      <c r="V39" s="97">
        <f t="shared" ref="V39:V41" si="5">SUM(E39:U39)</f>
        <v>7054.02</v>
      </c>
      <c r="W39" s="48"/>
      <c r="X39" s="49"/>
      <c r="Y39" s="49"/>
      <c r="Z39" s="49"/>
    </row>
    <row r="40" ht="15.75" customHeight="1">
      <c r="A40" s="50"/>
      <c r="B40" s="99"/>
      <c r="C40" s="52"/>
      <c r="D40" s="53"/>
      <c r="E40" s="54"/>
      <c r="F40" s="54"/>
      <c r="G40" s="62"/>
      <c r="H40" s="62"/>
      <c r="I40" s="56"/>
      <c r="J40" s="56"/>
      <c r="K40" s="56"/>
      <c r="L40" s="57"/>
      <c r="M40" s="45"/>
      <c r="N40" s="45"/>
      <c r="O40" s="45"/>
      <c r="P40" s="45"/>
      <c r="Q40" s="45"/>
      <c r="R40" s="45"/>
      <c r="S40" s="56"/>
      <c r="T40" s="56"/>
      <c r="U40" s="56"/>
      <c r="V40" s="97">
        <f t="shared" si="5"/>
        <v>0</v>
      </c>
      <c r="W40" s="14"/>
    </row>
    <row r="41" ht="15.75" customHeight="1">
      <c r="A41" s="58"/>
      <c r="B41" s="100">
        <v>2.0</v>
      </c>
      <c r="C41" s="60" t="s">
        <v>46</v>
      </c>
      <c r="D41" s="61"/>
      <c r="E41" s="54"/>
      <c r="F41" s="54"/>
      <c r="G41" s="62"/>
      <c r="H41" s="62"/>
      <c r="I41" s="63">
        <v>1150.0</v>
      </c>
      <c r="J41" s="63">
        <v>550.0</v>
      </c>
      <c r="K41" s="56"/>
      <c r="L41" s="56">
        <v>1200.0</v>
      </c>
      <c r="M41" s="45"/>
      <c r="N41" s="45"/>
      <c r="O41" s="44"/>
      <c r="P41" s="43">
        <v>125.0</v>
      </c>
      <c r="Q41" s="45"/>
      <c r="R41" s="46">
        <v>390.73</v>
      </c>
      <c r="S41" s="56"/>
      <c r="T41" s="56"/>
      <c r="U41" s="56"/>
      <c r="V41" s="97">
        <f t="shared" si="5"/>
        <v>3415.73</v>
      </c>
      <c r="W41" s="48"/>
      <c r="X41" s="49"/>
      <c r="Y41" s="49"/>
      <c r="Z41" s="49"/>
    </row>
    <row r="42" ht="16.5" customHeight="1">
      <c r="A42" s="64"/>
      <c r="B42" s="101"/>
      <c r="C42" s="65"/>
      <c r="D42" s="66"/>
      <c r="E42" s="68"/>
      <c r="F42" s="68"/>
      <c r="G42" s="69"/>
      <c r="H42" s="69"/>
      <c r="I42" s="69"/>
      <c r="J42" s="69"/>
      <c r="K42" s="69"/>
      <c r="L42" s="69"/>
      <c r="M42" s="68"/>
      <c r="N42" s="68"/>
      <c r="O42" s="102"/>
      <c r="P42" s="102"/>
      <c r="Q42" s="102"/>
      <c r="R42" s="102"/>
      <c r="S42" s="103"/>
      <c r="T42" s="103"/>
      <c r="U42" s="103"/>
      <c r="V42" s="88"/>
      <c r="W42" s="14"/>
    </row>
    <row r="43" ht="16.5" customHeight="1">
      <c r="A43" s="71"/>
      <c r="B43" s="104"/>
      <c r="C43" s="72"/>
      <c r="D43" s="74" t="s">
        <v>41</v>
      </c>
      <c r="E43" s="75">
        <f t="shared" ref="E43:V43" si="6">SUM(E39:E41)</f>
        <v>0</v>
      </c>
      <c r="F43" s="75">
        <f t="shared" si="6"/>
        <v>0</v>
      </c>
      <c r="G43" s="75">
        <f t="shared" si="6"/>
        <v>0</v>
      </c>
      <c r="H43" s="75">
        <f t="shared" si="6"/>
        <v>0</v>
      </c>
      <c r="I43" s="75">
        <f t="shared" si="6"/>
        <v>3698</v>
      </c>
      <c r="J43" s="75">
        <f t="shared" si="6"/>
        <v>1100</v>
      </c>
      <c r="K43" s="75">
        <f t="shared" si="6"/>
        <v>0</v>
      </c>
      <c r="L43" s="75">
        <f t="shared" si="6"/>
        <v>3700</v>
      </c>
      <c r="M43" s="75">
        <f t="shared" si="6"/>
        <v>125</v>
      </c>
      <c r="N43" s="75">
        <f t="shared" si="6"/>
        <v>0</v>
      </c>
      <c r="O43" s="75">
        <f t="shared" si="6"/>
        <v>0</v>
      </c>
      <c r="P43" s="75">
        <f t="shared" si="6"/>
        <v>250</v>
      </c>
      <c r="Q43" s="75">
        <f t="shared" si="6"/>
        <v>0</v>
      </c>
      <c r="R43" s="75">
        <f t="shared" si="6"/>
        <v>1596.75</v>
      </c>
      <c r="S43" s="75">
        <f t="shared" si="6"/>
        <v>0</v>
      </c>
      <c r="T43" s="75">
        <f t="shared" si="6"/>
        <v>0</v>
      </c>
      <c r="U43" s="75">
        <f t="shared" si="6"/>
        <v>0</v>
      </c>
      <c r="V43" s="76">
        <f t="shared" si="6"/>
        <v>10469.75</v>
      </c>
      <c r="W43" s="77"/>
      <c r="X43" s="78"/>
      <c r="Y43" s="78"/>
      <c r="Z43" s="78"/>
    </row>
    <row r="44" ht="15.75" customHeight="1">
      <c r="A44" s="79"/>
      <c r="B44" s="105"/>
      <c r="C44" s="80"/>
      <c r="D44" s="81"/>
      <c r="E44" s="44"/>
      <c r="F44" s="44"/>
      <c r="G44" s="41"/>
      <c r="H44" s="41"/>
      <c r="I44" s="41"/>
      <c r="J44" s="41"/>
      <c r="K44" s="41"/>
      <c r="L44" s="41"/>
      <c r="M44" s="44"/>
      <c r="N44" s="44"/>
      <c r="O44" s="44"/>
      <c r="P44" s="44"/>
      <c r="Q44" s="44"/>
      <c r="R44" s="44"/>
      <c r="S44" s="41"/>
      <c r="T44" s="41"/>
      <c r="U44" s="41"/>
      <c r="V44" s="83"/>
      <c r="W44" s="14"/>
    </row>
    <row r="45" ht="15.75" customHeight="1">
      <c r="A45" s="50"/>
      <c r="B45" s="85" t="s">
        <v>47</v>
      </c>
      <c r="C45" s="86"/>
      <c r="D45" s="86"/>
      <c r="E45" s="106"/>
      <c r="F45" s="106"/>
      <c r="G45" s="56"/>
      <c r="H45" s="56"/>
      <c r="I45" s="56"/>
      <c r="J45" s="56"/>
      <c r="K45" s="56"/>
      <c r="L45" s="56"/>
      <c r="M45" s="45"/>
      <c r="N45" s="45"/>
      <c r="O45" s="45"/>
      <c r="P45" s="45"/>
      <c r="Q45" s="45"/>
      <c r="R45" s="45"/>
      <c r="S45" s="56"/>
      <c r="T45" s="56"/>
      <c r="U45" s="56"/>
      <c r="V45" s="87"/>
      <c r="W45" s="14"/>
    </row>
    <row r="46" ht="15.75" customHeight="1">
      <c r="A46" s="50"/>
      <c r="B46" s="85"/>
      <c r="C46" s="86"/>
      <c r="D46" s="86"/>
      <c r="E46" s="45"/>
      <c r="F46" s="45"/>
      <c r="G46" s="56"/>
      <c r="H46" s="56"/>
      <c r="I46" s="56"/>
      <c r="J46" s="56"/>
      <c r="K46" s="56"/>
      <c r="L46" s="56"/>
      <c r="M46" s="45"/>
      <c r="N46" s="45"/>
      <c r="O46" s="45"/>
      <c r="P46" s="45"/>
      <c r="Q46" s="45"/>
      <c r="R46" s="45"/>
      <c r="S46" s="56"/>
      <c r="T46" s="56"/>
      <c r="U46" s="56"/>
      <c r="V46" s="87"/>
      <c r="W46" s="14"/>
    </row>
    <row r="47" ht="15.75" customHeight="1">
      <c r="A47" s="58">
        <v>1.0</v>
      </c>
      <c r="B47" s="59">
        <v>1.0</v>
      </c>
      <c r="C47" s="60" t="s">
        <v>48</v>
      </c>
      <c r="D47" s="61"/>
      <c r="E47" s="54"/>
      <c r="F47" s="54"/>
      <c r="G47" s="62"/>
      <c r="H47" s="62"/>
      <c r="I47" s="63">
        <v>2370.0</v>
      </c>
      <c r="J47" s="45"/>
      <c r="K47" s="45"/>
      <c r="L47" s="56">
        <v>1000.0</v>
      </c>
      <c r="M47" s="45"/>
      <c r="N47" s="107"/>
      <c r="O47" s="96">
        <v>200.0</v>
      </c>
      <c r="P47" s="96">
        <v>125.0</v>
      </c>
      <c r="Q47" s="107"/>
      <c r="R47" s="96">
        <v>552.44</v>
      </c>
      <c r="S47" s="63">
        <v>246.5</v>
      </c>
      <c r="T47" s="56"/>
      <c r="U47" s="56"/>
      <c r="V47" s="97">
        <f>SUM(E47:U47)</f>
        <v>4493.94</v>
      </c>
      <c r="W47" s="48"/>
      <c r="X47" s="49"/>
      <c r="Y47" s="49"/>
      <c r="Z47" s="49"/>
    </row>
    <row r="48" ht="16.5" customHeight="1">
      <c r="A48" s="64"/>
      <c r="B48" s="65"/>
      <c r="C48" s="66"/>
      <c r="D48" s="67"/>
      <c r="E48" s="68"/>
      <c r="F48" s="68"/>
      <c r="G48" s="69"/>
      <c r="H48" s="69"/>
      <c r="I48" s="69"/>
      <c r="J48" s="69"/>
      <c r="K48" s="69"/>
      <c r="L48" s="69"/>
      <c r="M48" s="68"/>
      <c r="N48" s="68"/>
      <c r="O48" s="102"/>
      <c r="P48" s="102"/>
      <c r="Q48" s="102"/>
      <c r="R48" s="102"/>
      <c r="S48" s="69"/>
      <c r="T48" s="69"/>
      <c r="U48" s="69"/>
      <c r="V48" s="88"/>
      <c r="W48" s="14"/>
    </row>
    <row r="49" ht="16.5" customHeight="1">
      <c r="A49" s="71"/>
      <c r="B49" s="72"/>
      <c r="C49" s="73"/>
      <c r="D49" s="74" t="s">
        <v>41</v>
      </c>
      <c r="E49" s="75">
        <f t="shared" ref="E49:V49" si="7">SUM(E47:E48)</f>
        <v>0</v>
      </c>
      <c r="F49" s="75">
        <f t="shared" si="7"/>
        <v>0</v>
      </c>
      <c r="G49" s="75">
        <f t="shared" si="7"/>
        <v>0</v>
      </c>
      <c r="H49" s="75">
        <f t="shared" si="7"/>
        <v>0</v>
      </c>
      <c r="I49" s="75">
        <f t="shared" si="7"/>
        <v>2370</v>
      </c>
      <c r="J49" s="75">
        <f t="shared" si="7"/>
        <v>0</v>
      </c>
      <c r="K49" s="75">
        <f t="shared" si="7"/>
        <v>0</v>
      </c>
      <c r="L49" s="75">
        <f t="shared" si="7"/>
        <v>1000</v>
      </c>
      <c r="M49" s="75">
        <f t="shared" si="7"/>
        <v>0</v>
      </c>
      <c r="N49" s="75">
        <f t="shared" si="7"/>
        <v>0</v>
      </c>
      <c r="O49" s="75">
        <f t="shared" si="7"/>
        <v>200</v>
      </c>
      <c r="P49" s="75">
        <f t="shared" si="7"/>
        <v>125</v>
      </c>
      <c r="Q49" s="75">
        <f t="shared" si="7"/>
        <v>0</v>
      </c>
      <c r="R49" s="75">
        <f t="shared" si="7"/>
        <v>552.44</v>
      </c>
      <c r="S49" s="75">
        <f t="shared" si="7"/>
        <v>246.5</v>
      </c>
      <c r="T49" s="75">
        <f t="shared" si="7"/>
        <v>0</v>
      </c>
      <c r="U49" s="75">
        <f t="shared" si="7"/>
        <v>0</v>
      </c>
      <c r="V49" s="76">
        <f t="shared" si="7"/>
        <v>4493.94</v>
      </c>
      <c r="W49" s="77"/>
      <c r="X49" s="78"/>
      <c r="Y49" s="78"/>
      <c r="Z49" s="78"/>
    </row>
    <row r="50" ht="15.75" customHeight="1">
      <c r="A50" s="79"/>
      <c r="B50" s="80"/>
      <c r="C50" s="81"/>
      <c r="D50" s="82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83"/>
      <c r="W50" s="14"/>
    </row>
    <row r="51" ht="15.75" customHeight="1">
      <c r="A51" s="50"/>
      <c r="B51" s="51"/>
      <c r="C51" s="52"/>
      <c r="D51" s="109"/>
      <c r="E51" s="45"/>
      <c r="F51" s="45"/>
      <c r="G51" s="45"/>
      <c r="H51" s="45"/>
      <c r="I51" s="45"/>
      <c r="J51" s="45"/>
      <c r="K51" s="45"/>
      <c r="L51" s="45"/>
      <c r="M51" s="56"/>
      <c r="N51" s="45"/>
      <c r="O51" s="45"/>
      <c r="P51" s="45"/>
      <c r="Q51" s="45"/>
      <c r="R51" s="45"/>
      <c r="S51" s="45"/>
      <c r="T51" s="45"/>
      <c r="U51" s="45"/>
      <c r="V51" s="87"/>
      <c r="W51" s="14"/>
    </row>
    <row r="52" ht="15.75" customHeight="1">
      <c r="A52" s="50"/>
      <c r="B52" s="85" t="s">
        <v>49</v>
      </c>
      <c r="C52" s="86"/>
      <c r="D52" s="86"/>
      <c r="E52" s="45"/>
      <c r="F52" s="45"/>
      <c r="G52" s="45"/>
      <c r="H52" s="45"/>
      <c r="I52" s="45"/>
      <c r="J52" s="45"/>
      <c r="K52" s="45"/>
      <c r="L52" s="45"/>
      <c r="M52" s="56"/>
      <c r="N52" s="45"/>
      <c r="O52" s="45"/>
      <c r="P52" s="45"/>
      <c r="Q52" s="45"/>
      <c r="R52" s="45"/>
      <c r="S52" s="45"/>
      <c r="T52" s="45"/>
      <c r="U52" s="45"/>
      <c r="V52" s="87"/>
      <c r="W52" s="14"/>
    </row>
    <row r="53" ht="15.75" customHeight="1">
      <c r="A53" s="50"/>
      <c r="B53" s="85"/>
      <c r="C53" s="86"/>
      <c r="D53" s="86"/>
      <c r="E53" s="45"/>
      <c r="F53" s="45"/>
      <c r="G53" s="45"/>
      <c r="H53" s="45"/>
      <c r="I53" s="54"/>
      <c r="J53" s="54"/>
      <c r="K53" s="54"/>
      <c r="L53" s="45"/>
      <c r="M53" s="56"/>
      <c r="N53" s="54"/>
      <c r="O53" s="54"/>
      <c r="P53" s="54"/>
      <c r="Q53" s="54"/>
      <c r="R53" s="54"/>
      <c r="S53" s="45"/>
      <c r="T53" s="45"/>
      <c r="U53" s="45"/>
      <c r="V53" s="87"/>
      <c r="W53" s="14"/>
    </row>
    <row r="54" ht="15.75" customHeight="1">
      <c r="A54" s="58">
        <v>1.0</v>
      </c>
      <c r="B54" s="59">
        <v>1.0</v>
      </c>
      <c r="C54" s="60" t="s">
        <v>50</v>
      </c>
      <c r="D54" s="61"/>
      <c r="E54" s="54"/>
      <c r="F54" s="54"/>
      <c r="G54" s="110"/>
      <c r="H54" s="54"/>
      <c r="I54" s="96">
        <v>1500.0</v>
      </c>
      <c r="J54" s="46">
        <v>1000.0</v>
      </c>
      <c r="K54" s="46">
        <v>500.0</v>
      </c>
      <c r="L54" s="45">
        <v>1000.0</v>
      </c>
      <c r="M54" s="63">
        <v>600.0</v>
      </c>
      <c r="N54" s="46">
        <v>237.5</v>
      </c>
      <c r="O54" s="44"/>
      <c r="P54" s="43">
        <v>125.0</v>
      </c>
      <c r="Q54" s="45"/>
      <c r="R54" s="46">
        <v>841.73</v>
      </c>
      <c r="S54" s="45"/>
      <c r="T54" s="45"/>
      <c r="U54" s="45"/>
      <c r="V54" s="97">
        <f>SUM(E54:U54)</f>
        <v>5804.23</v>
      </c>
      <c r="W54" s="48"/>
      <c r="X54" s="49"/>
      <c r="Y54" s="49"/>
      <c r="Z54" s="49"/>
    </row>
    <row r="55" ht="16.5" customHeight="1">
      <c r="A55" s="64"/>
      <c r="B55" s="65"/>
      <c r="C55" s="66"/>
      <c r="D55" s="67"/>
      <c r="E55" s="68"/>
      <c r="F55" s="68"/>
      <c r="G55" s="68"/>
      <c r="H55" s="68"/>
      <c r="I55" s="68"/>
      <c r="J55" s="68"/>
      <c r="K55" s="68"/>
      <c r="L55" s="68"/>
      <c r="M55" s="69"/>
      <c r="N55" s="68"/>
      <c r="O55" s="68"/>
      <c r="P55" s="68"/>
      <c r="Q55" s="68"/>
      <c r="R55" s="68"/>
      <c r="S55" s="68"/>
      <c r="T55" s="68"/>
      <c r="U55" s="68"/>
      <c r="V55" s="88"/>
      <c r="W55" s="14"/>
    </row>
    <row r="56" ht="16.5" customHeight="1">
      <c r="A56" s="71"/>
      <c r="B56" s="72"/>
      <c r="C56" s="73"/>
      <c r="D56" s="74" t="s">
        <v>41</v>
      </c>
      <c r="E56" s="75">
        <f t="shared" ref="E56:V56" si="8">SUM(E54)</f>
        <v>0</v>
      </c>
      <c r="F56" s="75">
        <f t="shared" si="8"/>
        <v>0</v>
      </c>
      <c r="G56" s="75">
        <f t="shared" si="8"/>
        <v>0</v>
      </c>
      <c r="H56" s="75">
        <f t="shared" si="8"/>
        <v>0</v>
      </c>
      <c r="I56" s="75">
        <f t="shared" si="8"/>
        <v>1500</v>
      </c>
      <c r="J56" s="75">
        <f t="shared" si="8"/>
        <v>1000</v>
      </c>
      <c r="K56" s="75">
        <f t="shared" si="8"/>
        <v>500</v>
      </c>
      <c r="L56" s="75">
        <f t="shared" si="8"/>
        <v>1000</v>
      </c>
      <c r="M56" s="75">
        <f t="shared" si="8"/>
        <v>600</v>
      </c>
      <c r="N56" s="75">
        <f t="shared" si="8"/>
        <v>237.5</v>
      </c>
      <c r="O56" s="75">
        <f t="shared" si="8"/>
        <v>0</v>
      </c>
      <c r="P56" s="75">
        <f t="shared" si="8"/>
        <v>125</v>
      </c>
      <c r="Q56" s="75">
        <f t="shared" si="8"/>
        <v>0</v>
      </c>
      <c r="R56" s="75">
        <f t="shared" si="8"/>
        <v>841.73</v>
      </c>
      <c r="S56" s="75">
        <f t="shared" si="8"/>
        <v>0</v>
      </c>
      <c r="T56" s="75">
        <f t="shared" si="8"/>
        <v>0</v>
      </c>
      <c r="U56" s="75">
        <f t="shared" si="8"/>
        <v>0</v>
      </c>
      <c r="V56" s="76">
        <f t="shared" si="8"/>
        <v>5804.23</v>
      </c>
      <c r="W56" s="77"/>
      <c r="X56" s="78"/>
      <c r="Y56" s="78"/>
      <c r="Z56" s="78"/>
    </row>
    <row r="57" ht="15.75" customHeight="1">
      <c r="A57" s="79"/>
      <c r="B57" s="80"/>
      <c r="C57" s="81"/>
      <c r="D57" s="82"/>
      <c r="E57" s="44"/>
      <c r="F57" s="44"/>
      <c r="G57" s="44"/>
      <c r="H57" s="44"/>
      <c r="I57" s="44"/>
      <c r="J57" s="44"/>
      <c r="K57" s="44"/>
      <c r="L57" s="44"/>
      <c r="M57" s="41"/>
      <c r="N57" s="44"/>
      <c r="O57" s="44"/>
      <c r="P57" s="44"/>
      <c r="Q57" s="44"/>
      <c r="R57" s="44"/>
      <c r="S57" s="44"/>
      <c r="T57" s="44"/>
      <c r="U57" s="44"/>
      <c r="V57" s="83"/>
      <c r="W57" s="14"/>
    </row>
    <row r="58" ht="15.75" customHeight="1">
      <c r="A58" s="50"/>
      <c r="B58" s="85" t="s">
        <v>51</v>
      </c>
      <c r="C58" s="86"/>
      <c r="D58" s="86"/>
      <c r="E58" s="45"/>
      <c r="F58" s="45"/>
      <c r="G58" s="45"/>
      <c r="H58" s="45"/>
      <c r="I58" s="45"/>
      <c r="J58" s="45"/>
      <c r="K58" s="45"/>
      <c r="L58" s="45"/>
      <c r="M58" s="56"/>
      <c r="N58" s="45"/>
      <c r="O58" s="45"/>
      <c r="P58" s="45"/>
      <c r="Q58" s="45"/>
      <c r="R58" s="45"/>
      <c r="S58" s="45"/>
      <c r="T58" s="45"/>
      <c r="U58" s="45"/>
      <c r="V58" s="87"/>
      <c r="W58" s="14"/>
    </row>
    <row r="59" ht="15.75" customHeight="1">
      <c r="A59" s="50"/>
      <c r="B59" s="51"/>
      <c r="C59" s="52"/>
      <c r="D59" s="53"/>
      <c r="E59" s="45"/>
      <c r="F59" s="45"/>
      <c r="G59" s="45"/>
      <c r="H59" s="45"/>
      <c r="I59" s="45"/>
      <c r="J59" s="45"/>
      <c r="K59" s="45"/>
      <c r="L59" s="45"/>
      <c r="M59" s="56"/>
      <c r="N59" s="45"/>
      <c r="O59" s="54"/>
      <c r="P59" s="54"/>
      <c r="Q59" s="54"/>
      <c r="R59" s="54"/>
      <c r="S59" s="54"/>
      <c r="T59" s="54"/>
      <c r="U59" s="45"/>
      <c r="V59" s="87"/>
      <c r="W59" s="14"/>
    </row>
    <row r="60" ht="15.75" customHeight="1">
      <c r="A60" s="58">
        <v>1.0</v>
      </c>
      <c r="B60" s="59">
        <v>1.0</v>
      </c>
      <c r="C60" s="111" t="s">
        <v>52</v>
      </c>
      <c r="D60" s="112"/>
      <c r="E60" s="54"/>
      <c r="F60" s="54"/>
      <c r="G60" s="113"/>
      <c r="H60" s="54"/>
      <c r="I60" s="96">
        <v>1500.0</v>
      </c>
      <c r="J60" s="46">
        <v>1000.0</v>
      </c>
      <c r="K60" s="46">
        <v>550.0</v>
      </c>
      <c r="L60" s="107">
        <v>1000.0</v>
      </c>
      <c r="M60" s="63">
        <v>1025.0</v>
      </c>
      <c r="N60" s="46">
        <v>500.0</v>
      </c>
      <c r="O60" s="45"/>
      <c r="P60" s="46">
        <v>125.0</v>
      </c>
      <c r="Q60" s="45"/>
      <c r="R60" s="46">
        <v>821.73</v>
      </c>
      <c r="S60" s="45"/>
      <c r="T60" s="45"/>
      <c r="U60" s="45"/>
      <c r="V60" s="97">
        <f>SUM(E60:U60)</f>
        <v>6521.73</v>
      </c>
      <c r="W60" s="48"/>
      <c r="X60" s="49"/>
      <c r="Y60" s="49"/>
      <c r="Z60" s="49"/>
    </row>
    <row r="61" ht="16.5" customHeight="1">
      <c r="A61" s="64"/>
      <c r="B61" s="65"/>
      <c r="C61" s="66"/>
      <c r="D61" s="67"/>
      <c r="E61" s="68"/>
      <c r="F61" s="68"/>
      <c r="G61" s="68"/>
      <c r="H61" s="68"/>
      <c r="I61" s="68"/>
      <c r="J61" s="68"/>
      <c r="K61" s="68"/>
      <c r="L61" s="68"/>
      <c r="M61" s="69"/>
      <c r="N61" s="68"/>
      <c r="O61" s="68"/>
      <c r="P61" s="68"/>
      <c r="Q61" s="68"/>
      <c r="R61" s="68"/>
      <c r="S61" s="68"/>
      <c r="T61" s="68"/>
      <c r="U61" s="68"/>
      <c r="V61" s="114"/>
      <c r="W61" s="14"/>
    </row>
    <row r="62" ht="16.5" customHeight="1">
      <c r="A62" s="71"/>
      <c r="B62" s="72"/>
      <c r="C62" s="73"/>
      <c r="D62" s="74" t="s">
        <v>41</v>
      </c>
      <c r="E62" s="75">
        <f t="shared" ref="E62:V62" si="9">SUM(E60)</f>
        <v>0</v>
      </c>
      <c r="F62" s="75">
        <f t="shared" si="9"/>
        <v>0</v>
      </c>
      <c r="G62" s="75">
        <f t="shared" si="9"/>
        <v>0</v>
      </c>
      <c r="H62" s="75">
        <f t="shared" si="9"/>
        <v>0</v>
      </c>
      <c r="I62" s="75">
        <f t="shared" si="9"/>
        <v>1500</v>
      </c>
      <c r="J62" s="75">
        <f t="shared" si="9"/>
        <v>1000</v>
      </c>
      <c r="K62" s="75">
        <f t="shared" si="9"/>
        <v>550</v>
      </c>
      <c r="L62" s="75">
        <f t="shared" si="9"/>
        <v>1000</v>
      </c>
      <c r="M62" s="75">
        <f t="shared" si="9"/>
        <v>1025</v>
      </c>
      <c r="N62" s="75">
        <f t="shared" si="9"/>
        <v>500</v>
      </c>
      <c r="O62" s="75">
        <f t="shared" si="9"/>
        <v>0</v>
      </c>
      <c r="P62" s="75">
        <f t="shared" si="9"/>
        <v>125</v>
      </c>
      <c r="Q62" s="75">
        <f t="shared" si="9"/>
        <v>0</v>
      </c>
      <c r="R62" s="75">
        <f t="shared" si="9"/>
        <v>821.73</v>
      </c>
      <c r="S62" s="75">
        <f t="shared" si="9"/>
        <v>0</v>
      </c>
      <c r="T62" s="75">
        <f t="shared" si="9"/>
        <v>0</v>
      </c>
      <c r="U62" s="75">
        <f t="shared" si="9"/>
        <v>0</v>
      </c>
      <c r="V62" s="115">
        <f t="shared" si="9"/>
        <v>6521.73</v>
      </c>
      <c r="W62" s="77"/>
      <c r="X62" s="78"/>
      <c r="Y62" s="78"/>
      <c r="Z62" s="78"/>
    </row>
    <row r="63" ht="16.5" customHeight="1">
      <c r="A63" s="116"/>
      <c r="B63" s="117"/>
      <c r="C63" s="117"/>
      <c r="D63" s="117"/>
      <c r="E63" s="118"/>
      <c r="F63" s="118"/>
      <c r="G63" s="118"/>
      <c r="H63" s="118"/>
      <c r="I63" s="118"/>
      <c r="J63" s="118"/>
      <c r="K63" s="118"/>
      <c r="L63" s="118"/>
      <c r="M63" s="119"/>
      <c r="N63" s="118"/>
      <c r="O63" s="118"/>
      <c r="P63" s="118"/>
      <c r="Q63" s="118"/>
      <c r="R63" s="118"/>
      <c r="S63" s="118"/>
      <c r="T63" s="118"/>
      <c r="U63" s="120"/>
      <c r="V63" s="121"/>
      <c r="W63" s="14"/>
    </row>
    <row r="64" ht="15.75" customHeight="1">
      <c r="A64" s="122"/>
      <c r="B64" s="86" t="s">
        <v>53</v>
      </c>
      <c r="C64" s="123"/>
      <c r="D64" s="123"/>
      <c r="E64" s="124"/>
      <c r="F64" s="124"/>
      <c r="G64" s="124"/>
      <c r="H64" s="124"/>
      <c r="I64" s="124"/>
      <c r="J64" s="124"/>
      <c r="K64" s="124"/>
      <c r="L64" s="124"/>
      <c r="M64" s="125"/>
      <c r="N64" s="124"/>
      <c r="O64" s="124"/>
      <c r="P64" s="124"/>
      <c r="Q64" s="124"/>
      <c r="R64" s="124"/>
      <c r="S64" s="124"/>
      <c r="T64" s="124"/>
      <c r="U64" s="124"/>
      <c r="V64" s="126"/>
      <c r="W64" s="14"/>
    </row>
    <row r="65" ht="15.75" customHeight="1">
      <c r="A65" s="127"/>
      <c r="B65" s="52"/>
      <c r="C65" s="53"/>
      <c r="D65" s="53"/>
      <c r="E65" s="45"/>
      <c r="F65" s="45"/>
      <c r="G65" s="45"/>
      <c r="H65" s="45"/>
      <c r="I65" s="45"/>
      <c r="J65" s="45"/>
      <c r="K65" s="45"/>
      <c r="L65" s="45"/>
      <c r="M65" s="56"/>
      <c r="N65" s="45"/>
      <c r="O65" s="45"/>
      <c r="P65" s="45"/>
      <c r="Q65" s="45"/>
      <c r="R65" s="45"/>
      <c r="S65" s="45"/>
      <c r="T65" s="45"/>
      <c r="U65" s="45"/>
      <c r="V65" s="87"/>
      <c r="W65" s="14"/>
    </row>
    <row r="66" ht="15.75" customHeight="1">
      <c r="A66" s="58">
        <v>1.0</v>
      </c>
      <c r="B66" s="59">
        <v>1.0</v>
      </c>
      <c r="C66" s="60" t="s">
        <v>54</v>
      </c>
      <c r="D66" s="61"/>
      <c r="E66" s="54"/>
      <c r="F66" s="54"/>
      <c r="G66" s="54"/>
      <c r="H66" s="54"/>
      <c r="I66" s="46">
        <v>3650.0</v>
      </c>
      <c r="J66" s="45"/>
      <c r="K66" s="45"/>
      <c r="L66" s="107">
        <v>2500.0</v>
      </c>
      <c r="M66" s="45"/>
      <c r="N66" s="46">
        <v>800.0</v>
      </c>
      <c r="O66" s="44"/>
      <c r="P66" s="43">
        <v>125.0</v>
      </c>
      <c r="Q66" s="45"/>
      <c r="R66" s="46">
        <v>1178.87</v>
      </c>
      <c r="S66" s="45"/>
      <c r="T66" s="45"/>
      <c r="U66" s="45"/>
      <c r="V66" s="97">
        <f>SUM(E66:U66)</f>
        <v>8253.87</v>
      </c>
      <c r="W66" s="48"/>
      <c r="X66" s="49"/>
      <c r="Y66" s="49"/>
      <c r="Z66" s="49"/>
    </row>
    <row r="67" ht="16.5" customHeight="1">
      <c r="A67" s="128"/>
      <c r="B67" s="66"/>
      <c r="C67" s="67"/>
      <c r="D67" s="67"/>
      <c r="E67" s="68"/>
      <c r="F67" s="68"/>
      <c r="G67" s="68"/>
      <c r="H67" s="68"/>
      <c r="I67" s="68"/>
      <c r="J67" s="68"/>
      <c r="K67" s="68"/>
      <c r="L67" s="68"/>
      <c r="M67" s="69"/>
      <c r="N67" s="68"/>
      <c r="O67" s="68"/>
      <c r="P67" s="68"/>
      <c r="Q67" s="68"/>
      <c r="R67" s="68"/>
      <c r="S67" s="68"/>
      <c r="T67" s="68"/>
      <c r="U67" s="68"/>
      <c r="V67" s="129"/>
      <c r="W67" s="14"/>
    </row>
    <row r="68" ht="16.5" customHeight="1">
      <c r="A68" s="130"/>
      <c r="B68" s="131"/>
      <c r="C68" s="74" t="s">
        <v>41</v>
      </c>
      <c r="D68" s="131"/>
      <c r="E68" s="75">
        <f t="shared" ref="E68:V68" si="10">SUM(E66)</f>
        <v>0</v>
      </c>
      <c r="F68" s="75">
        <f t="shared" si="10"/>
        <v>0</v>
      </c>
      <c r="G68" s="75">
        <f t="shared" si="10"/>
        <v>0</v>
      </c>
      <c r="H68" s="75">
        <f t="shared" si="10"/>
        <v>0</v>
      </c>
      <c r="I68" s="75">
        <f t="shared" si="10"/>
        <v>3650</v>
      </c>
      <c r="J68" s="75">
        <f t="shared" si="10"/>
        <v>0</v>
      </c>
      <c r="K68" s="75">
        <f t="shared" si="10"/>
        <v>0</v>
      </c>
      <c r="L68" s="75">
        <f t="shared" si="10"/>
        <v>2500</v>
      </c>
      <c r="M68" s="75">
        <f t="shared" si="10"/>
        <v>0</v>
      </c>
      <c r="N68" s="75">
        <f t="shared" si="10"/>
        <v>800</v>
      </c>
      <c r="O68" s="75">
        <f t="shared" si="10"/>
        <v>0</v>
      </c>
      <c r="P68" s="75">
        <f t="shared" si="10"/>
        <v>125</v>
      </c>
      <c r="Q68" s="75">
        <f t="shared" si="10"/>
        <v>0</v>
      </c>
      <c r="R68" s="75">
        <f t="shared" si="10"/>
        <v>1178.87</v>
      </c>
      <c r="S68" s="75">
        <f t="shared" si="10"/>
        <v>0</v>
      </c>
      <c r="T68" s="75">
        <f t="shared" si="10"/>
        <v>0</v>
      </c>
      <c r="U68" s="75">
        <f t="shared" si="10"/>
        <v>0</v>
      </c>
      <c r="V68" s="76">
        <f t="shared" si="10"/>
        <v>8253.87</v>
      </c>
      <c r="W68" s="77"/>
      <c r="X68" s="78"/>
      <c r="Y68" s="78"/>
      <c r="Z68" s="78"/>
    </row>
    <row r="69" ht="15.75" customHeight="1">
      <c r="A69" s="132"/>
      <c r="B69" s="133"/>
      <c r="C69" s="82"/>
      <c r="D69" s="95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134"/>
      <c r="W69" s="14"/>
    </row>
    <row r="70" ht="16.5" customHeight="1">
      <c r="A70" s="135"/>
      <c r="B70" s="67"/>
      <c r="C70" s="67"/>
      <c r="D70" s="67"/>
      <c r="E70" s="68"/>
      <c r="F70" s="68"/>
      <c r="G70" s="68"/>
      <c r="H70" s="68"/>
      <c r="I70" s="68"/>
      <c r="J70" s="68"/>
      <c r="K70" s="68"/>
      <c r="L70" s="68"/>
      <c r="M70" s="136"/>
      <c r="N70" s="136"/>
      <c r="O70" s="136"/>
      <c r="P70" s="136"/>
      <c r="Q70" s="136"/>
      <c r="R70" s="68"/>
      <c r="S70" s="68"/>
      <c r="T70" s="68"/>
      <c r="U70" s="68"/>
      <c r="V70" s="137"/>
      <c r="W70" s="14"/>
    </row>
    <row r="71" ht="16.5" customHeight="1">
      <c r="A71" s="138"/>
      <c r="B71" s="139"/>
      <c r="C71" s="140" t="s">
        <v>55</v>
      </c>
      <c r="D71" s="140"/>
      <c r="E71" s="93">
        <f t="shared" ref="E71:V71" si="11">SUM(E20+E35+E43+E49+E56+E62+E68)</f>
        <v>2885</v>
      </c>
      <c r="F71" s="93">
        <f t="shared" si="11"/>
        <v>0</v>
      </c>
      <c r="G71" s="93">
        <f t="shared" si="11"/>
        <v>2210.47</v>
      </c>
      <c r="H71" s="93">
        <f t="shared" si="11"/>
        <v>0</v>
      </c>
      <c r="I71" s="93">
        <f t="shared" si="11"/>
        <v>19868</v>
      </c>
      <c r="J71" s="93">
        <f t="shared" si="11"/>
        <v>6100</v>
      </c>
      <c r="K71" s="93">
        <f t="shared" si="11"/>
        <v>1050</v>
      </c>
      <c r="L71" s="93">
        <f t="shared" si="11"/>
        <v>14700</v>
      </c>
      <c r="M71" s="93">
        <f t="shared" si="11"/>
        <v>3775</v>
      </c>
      <c r="N71" s="93">
        <f t="shared" si="11"/>
        <v>3080</v>
      </c>
      <c r="O71" s="93">
        <f t="shared" si="11"/>
        <v>200</v>
      </c>
      <c r="P71" s="93">
        <f t="shared" si="11"/>
        <v>1125</v>
      </c>
      <c r="Q71" s="93">
        <f t="shared" si="11"/>
        <v>0</v>
      </c>
      <c r="R71" s="93">
        <f t="shared" si="11"/>
        <v>6882.32</v>
      </c>
      <c r="S71" s="93">
        <f t="shared" si="11"/>
        <v>246.5</v>
      </c>
      <c r="T71" s="93">
        <f t="shared" si="11"/>
        <v>102.68</v>
      </c>
      <c r="U71" s="93">
        <f t="shared" si="11"/>
        <v>0</v>
      </c>
      <c r="V71" s="94">
        <f t="shared" si="11"/>
        <v>62224.97</v>
      </c>
      <c r="W71" s="14"/>
      <c r="X71" s="14"/>
      <c r="Y71" s="14"/>
      <c r="Z71" s="14"/>
    </row>
    <row r="72" ht="15.0" customHeight="1">
      <c r="A72" s="141"/>
      <c r="B72" s="142"/>
      <c r="C72" s="143"/>
      <c r="D72" s="1"/>
      <c r="E72" s="1"/>
      <c r="F72" s="1"/>
      <c r="G72" s="144"/>
      <c r="H72" s="144"/>
      <c r="I72" s="144"/>
      <c r="J72" s="144"/>
      <c r="K72" s="144"/>
      <c r="L72" s="144"/>
      <c r="M72" s="145"/>
      <c r="N72" s="145"/>
      <c r="O72" s="145"/>
      <c r="P72" s="145"/>
      <c r="Q72" s="145"/>
      <c r="R72" s="145"/>
      <c r="S72" s="145"/>
      <c r="T72" s="145"/>
      <c r="U72" s="146"/>
      <c r="V72" s="145"/>
      <c r="W72" s="14"/>
    </row>
    <row r="73" ht="12.75" customHeight="1">
      <c r="M73" s="147"/>
      <c r="N73" s="148"/>
      <c r="O73" s="148"/>
      <c r="P73" s="148"/>
      <c r="Q73" s="148"/>
      <c r="R73" s="148"/>
      <c r="S73" s="148"/>
      <c r="T73" s="148"/>
      <c r="U73" s="148"/>
      <c r="V73" s="149"/>
    </row>
    <row r="74" ht="12.75" customHeight="1">
      <c r="A74" s="150"/>
      <c r="B74" s="151"/>
      <c r="C74" s="152"/>
      <c r="G74" s="153"/>
      <c r="H74" s="153"/>
      <c r="I74" s="153"/>
      <c r="J74" s="153"/>
      <c r="K74" s="153"/>
      <c r="L74" s="153"/>
      <c r="M74" s="148"/>
      <c r="N74" s="148"/>
      <c r="O74" s="148"/>
      <c r="P74" s="148"/>
      <c r="Q74" s="148"/>
      <c r="R74" s="148"/>
      <c r="S74" s="147"/>
      <c r="T74" s="147"/>
      <c r="U74" s="147"/>
      <c r="V74" s="149"/>
    </row>
    <row r="75" ht="12.75" customHeight="1">
      <c r="M75" s="147"/>
      <c r="N75" s="148"/>
      <c r="O75" s="148"/>
      <c r="P75" s="148"/>
      <c r="Q75" s="148"/>
      <c r="R75" s="148"/>
      <c r="S75" s="148"/>
      <c r="T75" s="148"/>
      <c r="U75" s="148"/>
      <c r="V75" s="149"/>
    </row>
    <row r="76" ht="12.75" customHeight="1">
      <c r="A76" s="150"/>
      <c r="B76" s="151"/>
      <c r="C76" s="152"/>
      <c r="G76" s="153"/>
      <c r="H76" s="153"/>
      <c r="I76" s="153"/>
      <c r="J76" s="153"/>
      <c r="K76" s="153"/>
      <c r="L76" s="153"/>
      <c r="M76" s="147"/>
      <c r="N76" s="148"/>
      <c r="O76" s="148"/>
      <c r="P76" s="148"/>
      <c r="Q76" s="148"/>
      <c r="R76" s="147"/>
      <c r="S76" s="147"/>
      <c r="T76" s="147"/>
      <c r="U76" s="147"/>
      <c r="V76" s="149"/>
    </row>
    <row r="77" ht="12.75" customHeight="1">
      <c r="G77" s="148"/>
      <c r="H77" s="148"/>
      <c r="I77" s="148"/>
      <c r="J77" s="148"/>
      <c r="K77" s="148"/>
      <c r="M77" s="147"/>
      <c r="N77" s="148"/>
      <c r="O77" s="148"/>
      <c r="P77" s="148"/>
      <c r="Q77" s="148"/>
      <c r="R77" s="148"/>
      <c r="S77" s="148"/>
      <c r="T77" s="148"/>
      <c r="U77" s="148"/>
      <c r="V77" s="149"/>
    </row>
    <row r="78" ht="12.75" customHeight="1">
      <c r="A78" s="150"/>
      <c r="B78" s="151"/>
      <c r="C78" s="152"/>
      <c r="G78" s="153"/>
      <c r="H78" s="153"/>
      <c r="I78" s="153"/>
      <c r="J78" s="153"/>
      <c r="K78" s="153"/>
      <c r="L78" s="153"/>
      <c r="M78" s="148"/>
      <c r="N78" s="148"/>
      <c r="O78" s="148"/>
      <c r="P78" s="148"/>
      <c r="Q78" s="148"/>
      <c r="R78" s="148"/>
      <c r="S78" s="147"/>
      <c r="T78" s="147"/>
      <c r="U78" s="147"/>
      <c r="V78" s="149"/>
    </row>
    <row r="79" ht="12.75" customHeight="1">
      <c r="G79" s="148"/>
      <c r="H79" s="148"/>
      <c r="M79" s="147"/>
      <c r="N79" s="148"/>
      <c r="O79" s="148"/>
      <c r="P79" s="148"/>
      <c r="Q79" s="148"/>
      <c r="R79" s="148"/>
      <c r="S79" s="148"/>
      <c r="T79" s="148"/>
      <c r="U79" s="148"/>
      <c r="V79" s="149"/>
    </row>
    <row r="80" ht="12.75" customHeight="1">
      <c r="A80" s="150"/>
      <c r="B80" s="151"/>
      <c r="C80" s="152"/>
      <c r="G80" s="153"/>
      <c r="H80" s="153"/>
      <c r="I80" s="153"/>
      <c r="J80" s="153"/>
      <c r="K80" s="153"/>
      <c r="L80" s="153"/>
      <c r="M80" s="148"/>
      <c r="N80" s="148"/>
      <c r="O80" s="148"/>
      <c r="P80" s="148"/>
      <c r="Q80" s="148"/>
      <c r="R80" s="147"/>
      <c r="S80" s="147"/>
      <c r="T80" s="147"/>
      <c r="U80" s="147"/>
      <c r="V80" s="149"/>
    </row>
    <row r="81" ht="12.75" customHeight="1">
      <c r="M81" s="147"/>
      <c r="N81" s="148"/>
      <c r="O81" s="148"/>
      <c r="P81" s="148"/>
      <c r="Q81" s="148"/>
      <c r="R81" s="148"/>
      <c r="S81" s="148"/>
      <c r="T81" s="148"/>
      <c r="U81" s="148"/>
      <c r="V81" s="149"/>
    </row>
    <row r="82" ht="12.75" customHeight="1">
      <c r="A82" s="150"/>
      <c r="B82" s="151"/>
      <c r="C82" s="152"/>
      <c r="G82" s="153"/>
      <c r="H82" s="153"/>
      <c r="I82" s="153"/>
      <c r="J82" s="153"/>
      <c r="K82" s="153"/>
      <c r="L82" s="153"/>
      <c r="M82" s="148"/>
      <c r="N82" s="147"/>
      <c r="O82" s="147"/>
      <c r="P82" s="147"/>
      <c r="Q82" s="147"/>
      <c r="R82" s="148"/>
      <c r="S82" s="147"/>
      <c r="T82" s="147"/>
      <c r="U82" s="147"/>
      <c r="V82" s="149"/>
    </row>
    <row r="83" ht="12.75" customHeight="1">
      <c r="M83" s="147"/>
      <c r="N83" s="148"/>
      <c r="O83" s="148"/>
      <c r="P83" s="148"/>
      <c r="Q83" s="148"/>
      <c r="R83" s="148"/>
      <c r="S83" s="148"/>
      <c r="T83" s="148"/>
      <c r="U83" s="148"/>
      <c r="V83" s="149"/>
    </row>
    <row r="84" ht="12.75" customHeight="1">
      <c r="A84" s="150"/>
      <c r="B84" s="151"/>
      <c r="C84" s="152"/>
      <c r="G84" s="153"/>
      <c r="H84" s="153"/>
      <c r="I84" s="153"/>
      <c r="J84" s="153"/>
      <c r="K84" s="153"/>
      <c r="L84" s="153"/>
      <c r="M84" s="148"/>
      <c r="N84" s="147"/>
      <c r="O84" s="147"/>
      <c r="P84" s="147"/>
      <c r="Q84" s="147"/>
      <c r="R84" s="148"/>
      <c r="S84" s="147"/>
      <c r="T84" s="147"/>
      <c r="U84" s="147"/>
      <c r="V84" s="149"/>
    </row>
    <row r="85" ht="12.75" customHeight="1">
      <c r="M85" s="147"/>
      <c r="N85" s="148"/>
      <c r="O85" s="148"/>
      <c r="P85" s="148"/>
      <c r="Q85" s="148"/>
      <c r="R85" s="148"/>
      <c r="S85" s="148"/>
      <c r="T85" s="148"/>
      <c r="U85" s="148"/>
      <c r="V85" s="149"/>
    </row>
    <row r="86" ht="12.75" customHeight="1">
      <c r="A86" s="150"/>
      <c r="B86" s="151"/>
      <c r="C86" s="152"/>
      <c r="G86" s="153"/>
      <c r="H86" s="153"/>
      <c r="I86" s="153"/>
      <c r="J86" s="153"/>
      <c r="K86" s="153"/>
      <c r="L86" s="153"/>
      <c r="M86" s="148"/>
      <c r="N86" s="148"/>
      <c r="O86" s="148"/>
      <c r="P86" s="148"/>
      <c r="Q86" s="148"/>
      <c r="R86" s="148"/>
      <c r="S86" s="147"/>
      <c r="T86" s="147"/>
      <c r="U86" s="147"/>
      <c r="V86" s="149"/>
    </row>
    <row r="87" ht="12.75" customHeight="1">
      <c r="M87" s="147"/>
      <c r="N87" s="148"/>
      <c r="O87" s="148"/>
      <c r="P87" s="148"/>
      <c r="Q87" s="148"/>
      <c r="R87" s="148"/>
      <c r="S87" s="148"/>
      <c r="T87" s="148"/>
      <c r="U87" s="148"/>
      <c r="V87" s="149"/>
    </row>
    <row r="88" ht="12.75" customHeight="1">
      <c r="A88" s="150"/>
      <c r="B88" s="151"/>
      <c r="C88" s="152"/>
      <c r="G88" s="153"/>
      <c r="H88" s="153"/>
      <c r="I88" s="153"/>
      <c r="J88" s="153"/>
      <c r="K88" s="153"/>
      <c r="L88" s="153"/>
      <c r="M88" s="148"/>
      <c r="N88" s="148"/>
      <c r="O88" s="148"/>
      <c r="P88" s="148"/>
      <c r="Q88" s="148"/>
      <c r="R88" s="148"/>
      <c r="S88" s="148"/>
      <c r="T88" s="148"/>
      <c r="U88" s="147"/>
      <c r="V88" s="149"/>
    </row>
    <row r="89" ht="12.75" customHeight="1">
      <c r="M89" s="147"/>
      <c r="N89" s="148"/>
      <c r="O89" s="148"/>
      <c r="P89" s="148"/>
      <c r="Q89" s="148"/>
      <c r="R89" s="148"/>
      <c r="S89" s="148"/>
      <c r="T89" s="148"/>
      <c r="U89" s="148"/>
      <c r="V89" s="149"/>
    </row>
    <row r="90" ht="12.75" customHeight="1">
      <c r="A90" s="150"/>
      <c r="B90" s="151"/>
      <c r="C90" s="152"/>
      <c r="G90" s="153"/>
      <c r="H90" s="153"/>
      <c r="I90" s="153"/>
      <c r="J90" s="153"/>
      <c r="K90" s="153"/>
      <c r="L90" s="153"/>
      <c r="M90" s="148"/>
      <c r="N90" s="148"/>
      <c r="O90" s="148"/>
      <c r="P90" s="148"/>
      <c r="Q90" s="148"/>
      <c r="R90" s="148"/>
      <c r="S90" s="148"/>
      <c r="T90" s="148"/>
      <c r="U90" s="147"/>
      <c r="V90" s="149"/>
    </row>
    <row r="91" ht="12.75" customHeight="1">
      <c r="M91" s="147"/>
      <c r="N91" s="148"/>
      <c r="O91" s="148"/>
      <c r="P91" s="148"/>
      <c r="Q91" s="148"/>
      <c r="R91" s="148"/>
      <c r="S91" s="148"/>
      <c r="T91" s="148"/>
      <c r="U91" s="148"/>
      <c r="V91" s="149"/>
    </row>
    <row r="92" ht="12.75" customHeight="1">
      <c r="A92" s="150"/>
      <c r="B92" s="151"/>
      <c r="C92" s="152"/>
      <c r="G92" s="153"/>
      <c r="H92" s="153"/>
      <c r="I92" s="153"/>
      <c r="J92" s="153"/>
      <c r="K92" s="153"/>
      <c r="L92" s="153"/>
      <c r="M92" s="148"/>
      <c r="N92" s="148"/>
      <c r="O92" s="148"/>
      <c r="P92" s="148"/>
      <c r="Q92" s="148"/>
      <c r="R92" s="148"/>
      <c r="S92" s="147"/>
      <c r="T92" s="147"/>
      <c r="U92" s="147"/>
      <c r="V92" s="149"/>
    </row>
    <row r="93" ht="12.75" customHeight="1">
      <c r="M93" s="147"/>
      <c r="N93" s="148"/>
      <c r="O93" s="148"/>
      <c r="P93" s="148"/>
      <c r="Q93" s="148"/>
      <c r="R93" s="148"/>
      <c r="S93" s="148"/>
      <c r="T93" s="148"/>
      <c r="U93" s="148"/>
      <c r="V93" s="149"/>
    </row>
    <row r="94" ht="12.75" customHeight="1">
      <c r="A94" s="150"/>
      <c r="B94" s="151"/>
      <c r="C94" s="152"/>
      <c r="G94" s="153"/>
      <c r="H94" s="153"/>
      <c r="I94" s="153"/>
      <c r="J94" s="153"/>
      <c r="K94" s="153"/>
      <c r="L94" s="153"/>
      <c r="M94" s="148"/>
      <c r="N94" s="148"/>
      <c r="O94" s="148"/>
      <c r="P94" s="148"/>
      <c r="Q94" s="148"/>
      <c r="R94" s="148"/>
      <c r="S94" s="148"/>
      <c r="T94" s="148"/>
      <c r="U94" s="147"/>
      <c r="V94" s="149"/>
    </row>
    <row r="95" ht="12.75" customHeight="1">
      <c r="M95" s="147"/>
      <c r="N95" s="148"/>
      <c r="O95" s="148"/>
      <c r="P95" s="148"/>
      <c r="Q95" s="148"/>
      <c r="R95" s="148"/>
      <c r="S95" s="148"/>
      <c r="T95" s="148"/>
      <c r="U95" s="148"/>
      <c r="V95" s="149"/>
    </row>
    <row r="96" ht="12.75" customHeight="1">
      <c r="A96" s="150"/>
      <c r="B96" s="151"/>
      <c r="C96" s="152"/>
      <c r="G96" s="153"/>
      <c r="H96" s="153"/>
      <c r="I96" s="153"/>
      <c r="J96" s="153"/>
      <c r="K96" s="153"/>
      <c r="L96" s="153"/>
      <c r="M96" s="148"/>
      <c r="N96" s="148"/>
      <c r="O96" s="148"/>
      <c r="P96" s="148"/>
      <c r="Q96" s="148"/>
      <c r="R96" s="148"/>
      <c r="S96" s="147"/>
      <c r="T96" s="147"/>
      <c r="U96" s="147"/>
      <c r="V96" s="149"/>
    </row>
    <row r="97" ht="12.75" customHeight="1">
      <c r="M97" s="148"/>
      <c r="N97" s="148"/>
      <c r="O97" s="148"/>
      <c r="P97" s="148"/>
      <c r="Q97" s="148"/>
      <c r="R97" s="148"/>
      <c r="S97" s="148"/>
      <c r="T97" s="148"/>
      <c r="U97" s="148"/>
      <c r="V97" s="149"/>
    </row>
    <row r="98" ht="12.75" customHeight="1">
      <c r="A98" s="150"/>
      <c r="B98" s="151"/>
      <c r="C98" s="152"/>
      <c r="G98" s="153"/>
      <c r="H98" s="153"/>
      <c r="I98" s="153"/>
      <c r="J98" s="153"/>
      <c r="K98" s="153"/>
      <c r="L98" s="153"/>
      <c r="M98" s="148"/>
      <c r="N98" s="148"/>
      <c r="O98" s="148"/>
      <c r="P98" s="148"/>
      <c r="Q98" s="148"/>
      <c r="R98" s="147"/>
      <c r="S98" s="147"/>
      <c r="T98" s="147"/>
      <c r="U98" s="147"/>
      <c r="V98" s="149"/>
    </row>
    <row r="99" ht="12.75" customHeight="1">
      <c r="M99" s="147"/>
      <c r="N99" s="148"/>
      <c r="O99" s="148"/>
      <c r="P99" s="148"/>
      <c r="Q99" s="148"/>
      <c r="R99" s="148"/>
      <c r="S99" s="148"/>
      <c r="T99" s="148"/>
      <c r="U99" s="148"/>
      <c r="V99" s="149"/>
    </row>
    <row r="100" ht="12.75" customHeight="1">
      <c r="A100" s="150"/>
      <c r="B100" s="151"/>
      <c r="C100" s="152"/>
      <c r="G100" s="153"/>
      <c r="H100" s="153"/>
      <c r="I100" s="153"/>
      <c r="J100" s="153"/>
      <c r="K100" s="153"/>
      <c r="L100" s="153"/>
      <c r="M100" s="148"/>
      <c r="N100" s="148"/>
      <c r="O100" s="148"/>
      <c r="P100" s="148"/>
      <c r="Q100" s="148"/>
      <c r="R100" s="148"/>
      <c r="S100" s="147"/>
      <c r="T100" s="147"/>
      <c r="U100" s="147"/>
      <c r="V100" s="149"/>
    </row>
    <row r="101" ht="12.75" customHeight="1">
      <c r="M101" s="147"/>
      <c r="N101" s="148"/>
      <c r="O101" s="148"/>
      <c r="P101" s="148"/>
      <c r="Q101" s="148"/>
      <c r="R101" s="148"/>
      <c r="S101" s="148"/>
      <c r="T101" s="148"/>
      <c r="U101" s="148"/>
      <c r="V101" s="149"/>
    </row>
    <row r="102" ht="12.75" customHeight="1">
      <c r="A102" s="150"/>
      <c r="B102" s="151"/>
      <c r="C102" s="152"/>
      <c r="G102" s="153"/>
      <c r="H102" s="153"/>
      <c r="I102" s="153"/>
      <c r="J102" s="153"/>
      <c r="K102" s="153"/>
      <c r="L102" s="153"/>
      <c r="M102" s="147"/>
      <c r="N102" s="148"/>
      <c r="O102" s="148"/>
      <c r="P102" s="148"/>
      <c r="Q102" s="148"/>
      <c r="R102" s="147"/>
      <c r="S102" s="147"/>
      <c r="T102" s="147"/>
      <c r="U102" s="147"/>
      <c r="V102" s="149"/>
    </row>
    <row r="103" ht="12.75" customHeight="1">
      <c r="M103" s="148"/>
      <c r="N103" s="148"/>
      <c r="O103" s="148"/>
      <c r="P103" s="148"/>
      <c r="Q103" s="148"/>
      <c r="R103" s="148"/>
      <c r="S103" s="148"/>
      <c r="T103" s="148"/>
      <c r="U103" s="148"/>
      <c r="V103" s="149"/>
    </row>
    <row r="104" ht="12.75" customHeight="1">
      <c r="A104" s="150"/>
      <c r="B104" s="151"/>
      <c r="C104" s="152"/>
      <c r="G104" s="153"/>
      <c r="H104" s="153"/>
      <c r="I104" s="153"/>
      <c r="J104" s="153"/>
      <c r="K104" s="153"/>
      <c r="L104" s="153"/>
      <c r="M104" s="148"/>
      <c r="N104" s="148"/>
      <c r="O104" s="148"/>
      <c r="P104" s="148"/>
      <c r="Q104" s="148"/>
      <c r="R104" s="148"/>
      <c r="S104" s="147"/>
      <c r="T104" s="147"/>
      <c r="U104" s="147"/>
      <c r="V104" s="149"/>
    </row>
    <row r="105" ht="12.75" customHeight="1">
      <c r="M105" s="147"/>
      <c r="N105" s="148"/>
      <c r="O105" s="148"/>
      <c r="P105" s="148"/>
      <c r="Q105" s="148"/>
      <c r="R105" s="148"/>
      <c r="S105" s="148"/>
      <c r="T105" s="148"/>
      <c r="U105" s="148"/>
      <c r="V105" s="149"/>
    </row>
    <row r="106" ht="12.75" customHeight="1">
      <c r="A106" s="150"/>
      <c r="B106" s="151"/>
      <c r="C106" s="152"/>
      <c r="G106" s="153"/>
      <c r="H106" s="153"/>
      <c r="I106" s="153"/>
      <c r="J106" s="153"/>
      <c r="K106" s="153"/>
      <c r="L106" s="153"/>
      <c r="M106" s="148"/>
      <c r="N106" s="148"/>
      <c r="O106" s="148"/>
      <c r="P106" s="148"/>
      <c r="Q106" s="148"/>
      <c r="R106" s="148"/>
      <c r="S106" s="147"/>
      <c r="T106" s="147"/>
      <c r="U106" s="147"/>
      <c r="V106" s="149"/>
    </row>
    <row r="107" ht="12.75" customHeight="1">
      <c r="M107" s="147"/>
      <c r="N107" s="148"/>
      <c r="O107" s="148"/>
      <c r="P107" s="148"/>
      <c r="Q107" s="148"/>
      <c r="R107" s="148"/>
      <c r="S107" s="148"/>
      <c r="T107" s="148"/>
      <c r="U107" s="148"/>
      <c r="V107" s="149"/>
    </row>
    <row r="108" ht="12.75" customHeight="1">
      <c r="A108" s="150"/>
      <c r="B108" s="151"/>
      <c r="C108" s="152"/>
      <c r="G108" s="153"/>
      <c r="H108" s="153"/>
      <c r="I108" s="153"/>
      <c r="J108" s="153"/>
      <c r="K108" s="153"/>
      <c r="L108" s="153"/>
      <c r="M108" s="148"/>
      <c r="N108" s="148"/>
      <c r="O108" s="148"/>
      <c r="P108" s="148"/>
      <c r="Q108" s="148"/>
      <c r="R108" s="148"/>
      <c r="S108" s="148"/>
      <c r="T108" s="148"/>
      <c r="U108" s="147"/>
      <c r="V108" s="149"/>
    </row>
    <row r="109" ht="12.75" customHeight="1">
      <c r="M109" s="148"/>
      <c r="N109" s="148"/>
      <c r="O109" s="148"/>
      <c r="P109" s="148"/>
      <c r="Q109" s="148"/>
      <c r="R109" s="148"/>
      <c r="S109" s="148"/>
      <c r="T109" s="148"/>
      <c r="U109" s="148"/>
      <c r="V109" s="149"/>
    </row>
    <row r="110" ht="12.75" customHeight="1">
      <c r="A110" s="150"/>
      <c r="B110" s="151"/>
      <c r="C110" s="152"/>
      <c r="G110" s="153"/>
      <c r="H110" s="153"/>
      <c r="I110" s="153"/>
      <c r="J110" s="153"/>
      <c r="K110" s="153"/>
      <c r="L110" s="153"/>
      <c r="M110" s="148"/>
      <c r="N110" s="148"/>
      <c r="O110" s="148"/>
      <c r="P110" s="148"/>
      <c r="Q110" s="148"/>
      <c r="R110" s="148"/>
      <c r="S110" s="147"/>
      <c r="T110" s="147"/>
      <c r="U110" s="147"/>
      <c r="V110" s="149"/>
    </row>
    <row r="111" ht="12.75" customHeight="1">
      <c r="M111" s="148"/>
      <c r="N111" s="148"/>
      <c r="O111" s="148"/>
      <c r="P111" s="148"/>
      <c r="Q111" s="148"/>
      <c r="R111" s="148"/>
      <c r="S111" s="148"/>
      <c r="T111" s="148"/>
      <c r="U111" s="148"/>
      <c r="V111" s="149"/>
    </row>
    <row r="112" ht="12.75" customHeight="1">
      <c r="A112" s="150"/>
      <c r="B112" s="151"/>
      <c r="C112" s="152"/>
      <c r="G112" s="153"/>
      <c r="H112" s="153"/>
      <c r="I112" s="153"/>
      <c r="J112" s="153"/>
      <c r="K112" s="153"/>
      <c r="L112" s="153"/>
      <c r="M112" s="148"/>
      <c r="N112" s="148"/>
      <c r="O112" s="148"/>
      <c r="P112" s="148"/>
      <c r="Q112" s="148"/>
      <c r="R112" s="148"/>
      <c r="S112" s="148"/>
      <c r="T112" s="148"/>
      <c r="U112" s="147"/>
      <c r="V112" s="149"/>
    </row>
    <row r="113" ht="12.75" customHeight="1">
      <c r="M113" s="148"/>
      <c r="N113" s="148"/>
      <c r="O113" s="148"/>
      <c r="P113" s="148"/>
      <c r="Q113" s="148"/>
      <c r="R113" s="148"/>
      <c r="S113" s="148"/>
      <c r="T113" s="148"/>
      <c r="U113" s="148"/>
      <c r="V113" s="149"/>
    </row>
    <row r="114" ht="12.75" customHeight="1">
      <c r="A114" s="150"/>
      <c r="B114" s="151"/>
      <c r="C114" s="152"/>
      <c r="G114" s="153"/>
      <c r="H114" s="153"/>
      <c r="I114" s="153"/>
      <c r="J114" s="153"/>
      <c r="K114" s="153"/>
      <c r="L114" s="153"/>
      <c r="M114" s="148"/>
      <c r="N114" s="148"/>
      <c r="O114" s="148"/>
      <c r="P114" s="148"/>
      <c r="Q114" s="148"/>
      <c r="R114" s="148"/>
      <c r="S114" s="147"/>
      <c r="T114" s="147"/>
      <c r="U114" s="147"/>
      <c r="V114" s="149"/>
    </row>
    <row r="115" ht="12.75" customHeight="1">
      <c r="M115" s="148"/>
      <c r="N115" s="148"/>
      <c r="O115" s="148"/>
      <c r="P115" s="148"/>
      <c r="Q115" s="148"/>
      <c r="R115" s="148"/>
      <c r="S115" s="148"/>
      <c r="T115" s="148"/>
      <c r="U115" s="148"/>
      <c r="V115" s="149"/>
    </row>
    <row r="116" ht="12.75" customHeight="1">
      <c r="A116" s="150"/>
      <c r="B116" s="151"/>
      <c r="C116" s="152"/>
      <c r="G116" s="153"/>
      <c r="H116" s="153"/>
      <c r="I116" s="153"/>
      <c r="J116" s="153"/>
      <c r="K116" s="153"/>
      <c r="L116" s="153"/>
      <c r="M116" s="148"/>
      <c r="N116" s="148"/>
      <c r="O116" s="148"/>
      <c r="P116" s="148"/>
      <c r="Q116" s="148"/>
      <c r="R116" s="148"/>
      <c r="S116" s="147"/>
      <c r="T116" s="147"/>
      <c r="U116" s="147"/>
      <c r="V116" s="149"/>
    </row>
    <row r="117" ht="12.75" customHeight="1">
      <c r="M117" s="148"/>
      <c r="N117" s="148"/>
      <c r="O117" s="148"/>
      <c r="P117" s="148"/>
      <c r="Q117" s="148"/>
      <c r="R117" s="148"/>
      <c r="S117" s="148"/>
      <c r="T117" s="148"/>
      <c r="U117" s="148"/>
      <c r="V117" s="149"/>
    </row>
    <row r="118" ht="12.75" customHeight="1">
      <c r="A118" s="150"/>
      <c r="B118" s="151"/>
      <c r="C118" s="152"/>
      <c r="G118" s="153"/>
      <c r="H118" s="153"/>
      <c r="I118" s="153"/>
      <c r="J118" s="153"/>
      <c r="K118" s="153"/>
      <c r="L118" s="153"/>
      <c r="M118" s="148"/>
      <c r="N118" s="148"/>
      <c r="O118" s="148"/>
      <c r="P118" s="148"/>
      <c r="Q118" s="148"/>
      <c r="R118" s="148"/>
      <c r="S118" s="148"/>
      <c r="T118" s="148"/>
      <c r="U118" s="147"/>
      <c r="V118" s="149"/>
    </row>
    <row r="119" ht="12.75" customHeight="1">
      <c r="M119" s="147"/>
      <c r="N119" s="148"/>
      <c r="O119" s="148"/>
      <c r="P119" s="148"/>
      <c r="Q119" s="148"/>
      <c r="R119" s="148"/>
      <c r="S119" s="148"/>
      <c r="T119" s="148"/>
      <c r="U119" s="148"/>
      <c r="V119" s="149"/>
    </row>
    <row r="120" ht="12.75" customHeight="1">
      <c r="A120" s="150"/>
      <c r="B120" s="151"/>
      <c r="C120" s="152"/>
      <c r="G120" s="153"/>
      <c r="H120" s="153"/>
      <c r="I120" s="153"/>
      <c r="J120" s="153"/>
      <c r="K120" s="153"/>
      <c r="L120" s="153"/>
      <c r="M120" s="148"/>
      <c r="N120" s="148"/>
      <c r="O120" s="148"/>
      <c r="P120" s="148"/>
      <c r="Q120" s="148"/>
      <c r="R120" s="148"/>
      <c r="S120" s="147"/>
      <c r="T120" s="147"/>
      <c r="U120" s="147"/>
      <c r="V120" s="149"/>
    </row>
    <row r="121" ht="12.75" customHeight="1">
      <c r="M121" s="147"/>
      <c r="N121" s="148"/>
      <c r="O121" s="148"/>
      <c r="P121" s="148"/>
      <c r="Q121" s="148"/>
      <c r="R121" s="148"/>
      <c r="S121" s="148"/>
      <c r="T121" s="148"/>
      <c r="U121" s="148"/>
      <c r="V121" s="149"/>
    </row>
    <row r="122" ht="12.75" customHeight="1">
      <c r="A122" s="150"/>
      <c r="B122" s="151"/>
      <c r="C122" s="152"/>
      <c r="G122" s="153"/>
      <c r="H122" s="153"/>
      <c r="I122" s="153"/>
      <c r="J122" s="153"/>
      <c r="K122" s="153"/>
      <c r="L122" s="153"/>
      <c r="M122" s="148"/>
      <c r="N122" s="148"/>
      <c r="O122" s="148"/>
      <c r="P122" s="148"/>
      <c r="Q122" s="148"/>
      <c r="R122" s="148"/>
      <c r="S122" s="147"/>
      <c r="T122" s="147"/>
      <c r="U122" s="147"/>
      <c r="V122" s="149"/>
    </row>
    <row r="123" ht="12.75" customHeight="1">
      <c r="M123" s="147"/>
      <c r="N123" s="148"/>
      <c r="O123" s="148"/>
      <c r="P123" s="148"/>
      <c r="Q123" s="148"/>
      <c r="R123" s="148"/>
      <c r="S123" s="148"/>
      <c r="T123" s="148"/>
      <c r="U123" s="148"/>
      <c r="V123" s="149"/>
    </row>
    <row r="124" ht="12.75" customHeight="1">
      <c r="A124" s="150"/>
      <c r="B124" s="151"/>
      <c r="C124" s="152"/>
      <c r="G124" s="153"/>
      <c r="H124" s="153"/>
      <c r="I124" s="153"/>
      <c r="J124" s="153"/>
      <c r="K124" s="153"/>
      <c r="L124" s="153"/>
      <c r="M124" s="148"/>
      <c r="N124" s="148"/>
      <c r="O124" s="148"/>
      <c r="P124" s="148"/>
      <c r="Q124" s="148"/>
      <c r="R124" s="147"/>
      <c r="S124" s="147"/>
      <c r="T124" s="147"/>
      <c r="U124" s="147"/>
      <c r="V124" s="149"/>
    </row>
    <row r="125" ht="12.75" customHeight="1">
      <c r="M125" s="147"/>
      <c r="N125" s="148"/>
      <c r="O125" s="148"/>
      <c r="P125" s="148"/>
      <c r="Q125" s="148"/>
      <c r="R125" s="148"/>
      <c r="S125" s="148"/>
      <c r="T125" s="148"/>
      <c r="U125" s="148"/>
      <c r="V125" s="149"/>
    </row>
    <row r="126" ht="12.75" customHeight="1">
      <c r="A126" s="150"/>
      <c r="B126" s="151"/>
      <c r="C126" s="152"/>
      <c r="G126" s="153"/>
      <c r="H126" s="153"/>
      <c r="I126" s="153"/>
      <c r="J126" s="153"/>
      <c r="K126" s="153"/>
      <c r="L126" s="153"/>
      <c r="M126" s="148"/>
      <c r="N126" s="148"/>
      <c r="O126" s="148"/>
      <c r="P126" s="148"/>
      <c r="Q126" s="148"/>
      <c r="R126" s="148"/>
      <c r="S126" s="148"/>
      <c r="T126" s="148"/>
      <c r="U126" s="147"/>
      <c r="V126" s="149"/>
    </row>
    <row r="127" ht="12.75" customHeight="1">
      <c r="M127" s="148"/>
      <c r="N127" s="148"/>
      <c r="O127" s="148"/>
      <c r="P127" s="148"/>
      <c r="Q127" s="148"/>
      <c r="R127" s="148"/>
      <c r="S127" s="148"/>
      <c r="T127" s="148"/>
      <c r="U127" s="148"/>
      <c r="V127" s="149"/>
    </row>
    <row r="128" ht="12.75" customHeight="1">
      <c r="A128" s="150"/>
      <c r="B128" s="151"/>
      <c r="C128" s="152"/>
      <c r="G128" s="153"/>
      <c r="H128" s="153"/>
      <c r="I128" s="153"/>
      <c r="J128" s="153"/>
      <c r="K128" s="153"/>
      <c r="L128" s="153"/>
      <c r="M128" s="147"/>
      <c r="N128" s="148"/>
      <c r="O128" s="148"/>
      <c r="P128" s="148"/>
      <c r="Q128" s="148"/>
      <c r="R128" s="147"/>
      <c r="S128" s="147"/>
      <c r="T128" s="147"/>
      <c r="U128" s="147"/>
      <c r="V128" s="149"/>
    </row>
    <row r="129" ht="12.75" customHeight="1">
      <c r="M129" s="148"/>
      <c r="N129" s="148"/>
      <c r="O129" s="148"/>
      <c r="P129" s="148"/>
      <c r="Q129" s="148"/>
      <c r="R129" s="148"/>
      <c r="S129" s="148"/>
      <c r="T129" s="148"/>
      <c r="U129" s="148"/>
      <c r="V129" s="149"/>
    </row>
    <row r="130" ht="12.75" customHeight="1">
      <c r="A130" s="150"/>
      <c r="B130" s="151"/>
      <c r="C130" s="152"/>
      <c r="G130" s="153"/>
      <c r="H130" s="153"/>
      <c r="I130" s="153"/>
      <c r="J130" s="153"/>
      <c r="K130" s="153"/>
      <c r="L130" s="153"/>
      <c r="M130" s="148"/>
      <c r="N130" s="148"/>
      <c r="O130" s="148"/>
      <c r="P130" s="148"/>
      <c r="Q130" s="148"/>
      <c r="R130" s="148"/>
      <c r="S130" s="147"/>
      <c r="T130" s="147"/>
      <c r="U130" s="147"/>
      <c r="V130" s="149"/>
    </row>
    <row r="131" ht="12.75" customHeight="1">
      <c r="M131" s="147"/>
      <c r="N131" s="148"/>
      <c r="O131" s="148"/>
      <c r="P131" s="148"/>
      <c r="Q131" s="148"/>
      <c r="R131" s="148"/>
      <c r="S131" s="148"/>
      <c r="T131" s="148"/>
      <c r="U131" s="148"/>
      <c r="V131" s="149"/>
    </row>
    <row r="132" ht="12.75" customHeight="1">
      <c r="A132" s="150"/>
      <c r="B132" s="151"/>
      <c r="C132" s="152"/>
      <c r="G132" s="153"/>
      <c r="H132" s="153"/>
      <c r="I132" s="153"/>
      <c r="J132" s="153"/>
      <c r="K132" s="153"/>
      <c r="L132" s="153"/>
      <c r="M132" s="148"/>
      <c r="N132" s="148"/>
      <c r="O132" s="148"/>
      <c r="P132" s="148"/>
      <c r="Q132" s="148"/>
      <c r="R132" s="148"/>
      <c r="S132" s="148"/>
      <c r="T132" s="148"/>
      <c r="U132" s="147"/>
      <c r="V132" s="149"/>
    </row>
    <row r="133" ht="12.75" customHeight="1">
      <c r="M133" s="148"/>
      <c r="N133" s="148"/>
      <c r="O133" s="148"/>
      <c r="P133" s="148"/>
      <c r="Q133" s="148"/>
      <c r="R133" s="148"/>
      <c r="S133" s="148"/>
      <c r="T133" s="148"/>
      <c r="U133" s="148"/>
      <c r="V133" s="149"/>
    </row>
    <row r="134" ht="12.75" customHeight="1">
      <c r="A134" s="150"/>
      <c r="B134" s="151"/>
      <c r="C134" s="152"/>
      <c r="G134" s="153"/>
      <c r="H134" s="153"/>
      <c r="I134" s="153"/>
      <c r="J134" s="153"/>
      <c r="K134" s="153"/>
      <c r="L134" s="153"/>
      <c r="M134" s="148"/>
      <c r="N134" s="148"/>
      <c r="O134" s="148"/>
      <c r="P134" s="148"/>
      <c r="Q134" s="148"/>
      <c r="R134" s="148"/>
      <c r="S134" s="147"/>
      <c r="T134" s="147"/>
      <c r="U134" s="147"/>
      <c r="V134" s="149"/>
    </row>
    <row r="135" ht="12.75" customHeight="1">
      <c r="M135" s="147"/>
      <c r="N135" s="148"/>
      <c r="O135" s="148"/>
      <c r="P135" s="148"/>
      <c r="Q135" s="148"/>
      <c r="R135" s="148"/>
      <c r="S135" s="148"/>
      <c r="T135" s="148"/>
      <c r="U135" s="148"/>
      <c r="V135" s="149"/>
    </row>
    <row r="136" ht="12.75" customHeight="1">
      <c r="A136" s="150"/>
      <c r="B136" s="151"/>
      <c r="C136" s="152"/>
      <c r="G136" s="153"/>
      <c r="H136" s="153"/>
      <c r="I136" s="153"/>
      <c r="J136" s="153"/>
      <c r="K136" s="153"/>
      <c r="L136" s="153"/>
      <c r="M136" s="148"/>
      <c r="N136" s="148"/>
      <c r="O136" s="148"/>
      <c r="P136" s="148"/>
      <c r="Q136" s="148"/>
      <c r="R136" s="147"/>
      <c r="S136" s="147"/>
      <c r="T136" s="147"/>
      <c r="U136" s="147"/>
      <c r="V136" s="149"/>
    </row>
    <row r="137" ht="12.75" customHeight="1">
      <c r="M137" s="147"/>
      <c r="N137" s="148"/>
      <c r="O137" s="148"/>
      <c r="P137" s="148"/>
      <c r="Q137" s="148"/>
      <c r="R137" s="148"/>
      <c r="S137" s="148"/>
      <c r="T137" s="148"/>
      <c r="U137" s="148"/>
      <c r="V137" s="149"/>
    </row>
    <row r="138" ht="12.75" customHeight="1">
      <c r="A138" s="150"/>
      <c r="B138" s="151"/>
      <c r="C138" s="152"/>
      <c r="G138" s="153"/>
      <c r="H138" s="153"/>
      <c r="I138" s="153"/>
      <c r="J138" s="153"/>
      <c r="K138" s="153"/>
      <c r="L138" s="153"/>
      <c r="M138" s="148"/>
      <c r="N138" s="148"/>
      <c r="O138" s="148"/>
      <c r="P138" s="148"/>
      <c r="Q138" s="148"/>
      <c r="R138" s="148"/>
      <c r="S138" s="147"/>
      <c r="T138" s="147"/>
      <c r="U138" s="147"/>
      <c r="V138" s="149"/>
    </row>
    <row r="139" ht="12.75" customHeight="1">
      <c r="M139" s="147"/>
      <c r="N139" s="148"/>
      <c r="O139" s="148"/>
      <c r="P139" s="148"/>
      <c r="Q139" s="148"/>
      <c r="R139" s="148"/>
      <c r="S139" s="148"/>
      <c r="T139" s="148"/>
      <c r="U139" s="148"/>
      <c r="V139" s="149"/>
    </row>
    <row r="140" ht="12.75" customHeight="1">
      <c r="A140" s="150"/>
      <c r="B140" s="151"/>
      <c r="C140" s="152"/>
      <c r="G140" s="153"/>
      <c r="H140" s="153"/>
      <c r="I140" s="153"/>
      <c r="J140" s="153"/>
      <c r="K140" s="153"/>
      <c r="L140" s="153"/>
      <c r="M140" s="148"/>
      <c r="N140" s="148"/>
      <c r="O140" s="148"/>
      <c r="P140" s="148"/>
      <c r="Q140" s="148"/>
      <c r="R140" s="148"/>
      <c r="S140" s="147"/>
      <c r="T140" s="147"/>
      <c r="U140" s="147"/>
      <c r="V140" s="149"/>
    </row>
    <row r="141" ht="12.75" customHeight="1">
      <c r="M141" s="147"/>
      <c r="N141" s="147"/>
      <c r="O141" s="147"/>
      <c r="P141" s="147"/>
      <c r="Q141" s="147"/>
      <c r="R141" s="148"/>
      <c r="S141" s="148"/>
      <c r="T141" s="148"/>
      <c r="U141" s="148"/>
      <c r="V141" s="149"/>
    </row>
    <row r="142" ht="12.75" customHeight="1">
      <c r="M142" s="148"/>
      <c r="N142" s="148"/>
      <c r="O142" s="148"/>
      <c r="P142" s="148"/>
      <c r="Q142" s="148"/>
      <c r="R142" s="148"/>
      <c r="S142" s="148"/>
      <c r="T142" s="148"/>
      <c r="U142" s="148"/>
      <c r="V142" s="149"/>
    </row>
    <row r="143" ht="12.75" customHeight="1">
      <c r="C143" s="154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6"/>
    </row>
    <row r="144" ht="12.75" customHeight="1">
      <c r="M144" s="157"/>
      <c r="N144" s="157"/>
      <c r="O144" s="157"/>
      <c r="P144" s="157"/>
      <c r="Q144" s="157"/>
      <c r="R144" s="148"/>
      <c r="S144" s="148"/>
      <c r="T144" s="148"/>
      <c r="U144" s="148"/>
      <c r="V144" s="149"/>
    </row>
    <row r="145" ht="12.75" customHeight="1">
      <c r="M145" s="148"/>
      <c r="N145" s="148"/>
      <c r="O145" s="148"/>
      <c r="P145" s="148"/>
      <c r="Q145" s="148"/>
      <c r="R145" s="148"/>
      <c r="S145" s="148"/>
      <c r="T145" s="148"/>
      <c r="U145" s="148"/>
      <c r="V145" s="149"/>
    </row>
    <row r="146" ht="12.75" customHeight="1">
      <c r="M146" s="148"/>
      <c r="N146" s="148"/>
      <c r="O146" s="148"/>
      <c r="P146" s="148"/>
      <c r="Q146" s="148"/>
      <c r="R146" s="148"/>
      <c r="S146" s="148"/>
      <c r="T146" s="148"/>
      <c r="U146" s="148"/>
      <c r="V146" s="149"/>
    </row>
    <row r="147" ht="12.75" customHeight="1">
      <c r="M147" s="148"/>
      <c r="N147" s="148"/>
      <c r="O147" s="148"/>
      <c r="P147" s="148"/>
      <c r="Q147" s="148"/>
      <c r="R147" s="148"/>
      <c r="S147" s="148"/>
      <c r="T147" s="148"/>
      <c r="U147" s="148"/>
      <c r="V147" s="149"/>
    </row>
    <row r="148" ht="12.75" customHeight="1">
      <c r="A148" s="15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9"/>
    </row>
    <row r="149" ht="12.75" customHeight="1">
      <c r="A149" s="158"/>
      <c r="E149" s="159"/>
      <c r="F149" s="159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</row>
    <row r="150" ht="12.75" customHeight="1">
      <c r="A150" s="158"/>
      <c r="E150" s="159"/>
      <c r="F150" s="159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</row>
    <row r="151" ht="12.75" customHeight="1">
      <c r="A151" s="150"/>
      <c r="B151" s="151"/>
      <c r="C151" s="152"/>
      <c r="G151" s="153"/>
      <c r="H151" s="153"/>
      <c r="I151" s="153"/>
      <c r="J151" s="153"/>
      <c r="K151" s="153"/>
      <c r="L151" s="153"/>
      <c r="M151" s="148"/>
      <c r="N151" s="148"/>
      <c r="O151" s="148"/>
      <c r="P151" s="148"/>
      <c r="Q151" s="148"/>
      <c r="R151" s="148"/>
      <c r="S151" s="147"/>
      <c r="T151" s="147"/>
      <c r="U151" s="147"/>
      <c r="V151" s="149"/>
    </row>
    <row r="152" ht="12.75" customHeight="1">
      <c r="M152" s="148"/>
      <c r="N152" s="148"/>
      <c r="O152" s="148"/>
      <c r="P152" s="148"/>
      <c r="Q152" s="148"/>
      <c r="R152" s="148"/>
      <c r="S152" s="148"/>
      <c r="T152" s="148"/>
      <c r="U152" s="148"/>
      <c r="V152" s="149"/>
    </row>
    <row r="153" ht="12.75" customHeight="1">
      <c r="A153" s="150"/>
      <c r="B153" s="151"/>
      <c r="C153" s="152"/>
      <c r="G153" s="153"/>
      <c r="H153" s="153"/>
      <c r="I153" s="153"/>
      <c r="J153" s="153"/>
      <c r="K153" s="153"/>
      <c r="L153" s="153"/>
      <c r="M153" s="148"/>
      <c r="N153" s="148"/>
      <c r="O153" s="148"/>
      <c r="P153" s="148"/>
      <c r="Q153" s="148"/>
      <c r="R153" s="148"/>
      <c r="S153" s="148"/>
      <c r="T153" s="148"/>
      <c r="U153" s="147"/>
      <c r="V153" s="149"/>
    </row>
    <row r="154" ht="12.75" customHeight="1">
      <c r="M154" s="148"/>
      <c r="N154" s="148"/>
      <c r="O154" s="148"/>
      <c r="P154" s="148"/>
      <c r="Q154" s="148"/>
      <c r="R154" s="148"/>
      <c r="S154" s="148"/>
      <c r="T154" s="148"/>
      <c r="U154" s="148"/>
      <c r="V154" s="149"/>
    </row>
    <row r="155" ht="12.75" customHeight="1">
      <c r="A155" s="150"/>
      <c r="B155" s="151"/>
      <c r="C155" s="152"/>
      <c r="G155" s="153"/>
      <c r="H155" s="153"/>
      <c r="I155" s="153"/>
      <c r="J155" s="153"/>
      <c r="K155" s="153"/>
      <c r="L155" s="153"/>
      <c r="M155" s="148"/>
      <c r="N155" s="148"/>
      <c r="O155" s="148"/>
      <c r="P155" s="148"/>
      <c r="Q155" s="148"/>
      <c r="R155" s="148"/>
      <c r="S155" s="148"/>
      <c r="T155" s="148"/>
      <c r="U155" s="147"/>
      <c r="V155" s="149"/>
    </row>
    <row r="156" ht="12.75" customHeight="1">
      <c r="M156" s="148"/>
      <c r="N156" s="148"/>
      <c r="O156" s="148"/>
      <c r="P156" s="148"/>
      <c r="Q156" s="148"/>
      <c r="R156" s="148"/>
      <c r="S156" s="148"/>
      <c r="T156" s="148"/>
      <c r="U156" s="148"/>
      <c r="V156" s="149"/>
    </row>
    <row r="157" ht="12.75" customHeight="1">
      <c r="A157" s="150"/>
      <c r="B157" s="151"/>
      <c r="C157" s="152"/>
      <c r="G157" s="153"/>
      <c r="H157" s="153"/>
      <c r="I157" s="153"/>
      <c r="J157" s="153"/>
      <c r="K157" s="153"/>
      <c r="L157" s="153"/>
      <c r="M157" s="148"/>
      <c r="N157" s="148"/>
      <c r="O157" s="148"/>
      <c r="P157" s="148"/>
      <c r="Q157" s="148"/>
      <c r="R157" s="148"/>
      <c r="S157" s="147"/>
      <c r="T157" s="147"/>
      <c r="U157" s="147"/>
      <c r="V157" s="149"/>
    </row>
    <row r="158" ht="12.75" customHeight="1">
      <c r="M158" s="148"/>
      <c r="N158" s="148"/>
      <c r="O158" s="148"/>
      <c r="P158" s="148"/>
      <c r="Q158" s="148"/>
      <c r="R158" s="148"/>
      <c r="S158" s="148"/>
      <c r="T158" s="148"/>
      <c r="U158" s="148"/>
      <c r="V158" s="149"/>
    </row>
    <row r="159" ht="12.75" customHeight="1">
      <c r="A159" s="150"/>
      <c r="B159" s="151"/>
      <c r="C159" s="152"/>
      <c r="G159" s="153"/>
      <c r="H159" s="153"/>
      <c r="I159" s="153"/>
      <c r="J159" s="153"/>
      <c r="K159" s="153"/>
      <c r="L159" s="153"/>
      <c r="M159" s="148"/>
      <c r="N159" s="148"/>
      <c r="O159" s="148"/>
      <c r="P159" s="148"/>
      <c r="Q159" s="148"/>
      <c r="R159" s="148"/>
      <c r="S159" s="147"/>
      <c r="T159" s="147"/>
      <c r="U159" s="147"/>
      <c r="V159" s="149"/>
    </row>
    <row r="160" ht="12.75" customHeight="1">
      <c r="M160" s="148"/>
      <c r="N160" s="148"/>
      <c r="O160" s="148"/>
      <c r="P160" s="148"/>
      <c r="Q160" s="148"/>
      <c r="R160" s="148"/>
      <c r="S160" s="148"/>
      <c r="T160" s="148"/>
      <c r="U160" s="148"/>
      <c r="V160" s="149"/>
    </row>
    <row r="161" ht="12.75" customHeight="1">
      <c r="A161" s="150"/>
      <c r="B161" s="151"/>
      <c r="C161" s="152"/>
      <c r="G161" s="153"/>
      <c r="H161" s="153"/>
      <c r="I161" s="153"/>
      <c r="J161" s="153"/>
      <c r="K161" s="153"/>
      <c r="L161" s="153"/>
      <c r="M161" s="148"/>
      <c r="N161" s="148"/>
      <c r="O161" s="148"/>
      <c r="P161" s="148"/>
      <c r="Q161" s="148"/>
      <c r="R161" s="148"/>
      <c r="S161" s="147"/>
      <c r="T161" s="147"/>
      <c r="U161" s="147"/>
      <c r="V161" s="149"/>
    </row>
    <row r="162" ht="12.75" customHeight="1">
      <c r="M162" s="148"/>
      <c r="N162" s="148"/>
      <c r="O162" s="148"/>
      <c r="P162" s="148"/>
      <c r="Q162" s="148"/>
      <c r="R162" s="148"/>
      <c r="S162" s="148"/>
      <c r="T162" s="148"/>
      <c r="U162" s="148"/>
      <c r="V162" s="149"/>
    </row>
    <row r="163" ht="12.75" customHeight="1">
      <c r="A163" s="150"/>
      <c r="B163" s="151"/>
      <c r="C163" s="152"/>
      <c r="G163" s="153"/>
      <c r="H163" s="153"/>
      <c r="I163" s="153"/>
      <c r="J163" s="153"/>
      <c r="K163" s="153"/>
      <c r="L163" s="153"/>
      <c r="M163" s="148"/>
      <c r="N163" s="148"/>
      <c r="O163" s="148"/>
      <c r="P163" s="148"/>
      <c r="Q163" s="148"/>
      <c r="R163" s="148"/>
      <c r="S163" s="147"/>
      <c r="T163" s="147"/>
      <c r="U163" s="147"/>
      <c r="V163" s="149"/>
    </row>
    <row r="164" ht="12.75" customHeight="1">
      <c r="M164" s="147"/>
      <c r="N164" s="148"/>
      <c r="O164" s="148"/>
      <c r="P164" s="148"/>
      <c r="Q164" s="148"/>
      <c r="R164" s="148"/>
      <c r="S164" s="148"/>
      <c r="T164" s="148"/>
      <c r="U164" s="148"/>
      <c r="V164" s="149"/>
    </row>
    <row r="165" ht="12.75" customHeight="1">
      <c r="A165" s="150"/>
      <c r="B165" s="151"/>
      <c r="C165" s="152"/>
      <c r="G165" s="153"/>
      <c r="H165" s="153"/>
      <c r="I165" s="153"/>
      <c r="J165" s="153"/>
      <c r="K165" s="153"/>
      <c r="L165" s="153"/>
      <c r="M165" s="148"/>
      <c r="N165" s="148"/>
      <c r="O165" s="148"/>
      <c r="P165" s="148"/>
      <c r="Q165" s="148"/>
      <c r="R165" s="148"/>
      <c r="S165" s="147"/>
      <c r="T165" s="147"/>
      <c r="U165" s="147"/>
      <c r="V165" s="149"/>
    </row>
    <row r="166" ht="12.75" customHeight="1">
      <c r="M166" s="148"/>
      <c r="N166" s="148"/>
      <c r="O166" s="148"/>
      <c r="P166" s="148"/>
      <c r="Q166" s="148"/>
      <c r="R166" s="148"/>
      <c r="S166" s="148"/>
      <c r="T166" s="148"/>
      <c r="U166" s="148"/>
      <c r="V166" s="149"/>
    </row>
    <row r="167" ht="12.75" customHeight="1">
      <c r="A167" s="150"/>
      <c r="B167" s="151"/>
      <c r="C167" s="152"/>
      <c r="G167" s="153"/>
      <c r="H167" s="153"/>
      <c r="I167" s="153"/>
      <c r="J167" s="153"/>
      <c r="K167" s="153"/>
      <c r="L167" s="153"/>
      <c r="M167" s="148"/>
      <c r="N167" s="148"/>
      <c r="O167" s="148"/>
      <c r="P167" s="148"/>
      <c r="Q167" s="148"/>
      <c r="R167" s="148"/>
      <c r="S167" s="147"/>
      <c r="T167" s="147"/>
      <c r="U167" s="147"/>
      <c r="V167" s="149"/>
    </row>
    <row r="168" ht="12.75" customHeight="1">
      <c r="M168" s="148"/>
      <c r="N168" s="148"/>
      <c r="O168" s="148"/>
      <c r="P168" s="148"/>
      <c r="Q168" s="148"/>
      <c r="R168" s="148"/>
      <c r="S168" s="148"/>
      <c r="T168" s="148"/>
      <c r="U168" s="148"/>
      <c r="V168" s="149"/>
    </row>
    <row r="169" ht="12.75" customHeight="1">
      <c r="A169" s="150"/>
      <c r="B169" s="151"/>
      <c r="C169" s="152"/>
      <c r="G169" s="153"/>
      <c r="H169" s="153"/>
      <c r="I169" s="153"/>
      <c r="J169" s="153"/>
      <c r="K169" s="153"/>
      <c r="L169" s="153"/>
      <c r="M169" s="148"/>
      <c r="N169" s="148"/>
      <c r="O169" s="148"/>
      <c r="P169" s="148"/>
      <c r="Q169" s="148"/>
      <c r="R169" s="148"/>
      <c r="S169" s="147"/>
      <c r="T169" s="147"/>
      <c r="U169" s="147"/>
      <c r="V169" s="149"/>
    </row>
    <row r="170" ht="12.75" customHeight="1">
      <c r="M170" s="148"/>
      <c r="N170" s="148"/>
      <c r="O170" s="148"/>
      <c r="P170" s="148"/>
      <c r="Q170" s="148"/>
      <c r="R170" s="148"/>
      <c r="S170" s="148"/>
      <c r="T170" s="148"/>
      <c r="U170" s="148"/>
      <c r="V170" s="149"/>
    </row>
    <row r="171" ht="12.75" customHeight="1">
      <c r="M171" s="148"/>
      <c r="N171" s="148"/>
      <c r="O171" s="148"/>
      <c r="P171" s="148"/>
      <c r="Q171" s="148"/>
      <c r="R171" s="148"/>
      <c r="S171" s="148"/>
      <c r="T171" s="148"/>
      <c r="U171" s="148"/>
      <c r="V171" s="149"/>
    </row>
    <row r="172" ht="12.75" customHeight="1">
      <c r="C172" s="154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61"/>
    </row>
    <row r="173" ht="12.75" customHeight="1">
      <c r="M173" s="157"/>
      <c r="N173" s="157"/>
      <c r="O173" s="157"/>
      <c r="P173" s="157"/>
      <c r="Q173" s="157"/>
      <c r="R173" s="148"/>
      <c r="S173" s="148"/>
      <c r="T173" s="148"/>
      <c r="U173" s="148"/>
      <c r="V173" s="149"/>
    </row>
    <row r="174" ht="12.75" customHeight="1">
      <c r="C174" s="154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61"/>
    </row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>
      <c r="A181" s="162"/>
    </row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60:D6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1" width="2.71"/>
    <col customWidth="1" min="2" max="2" width="2.57"/>
    <col customWidth="1" min="3" max="3" width="11.43"/>
    <col customWidth="1" min="4" max="4" width="20.57"/>
    <col customWidth="1" min="5" max="5" width="13.29"/>
    <col customWidth="1" min="6" max="6" width="12.0"/>
    <col customWidth="1" min="7" max="7" width="13.86"/>
    <col customWidth="1" hidden="1" min="8" max="8" width="11.86"/>
    <col customWidth="1" min="9" max="9" width="13.29"/>
    <col customWidth="1" min="10" max="10" width="13.57"/>
    <col customWidth="1" min="11" max="11" width="12.43"/>
    <col customWidth="1" min="12" max="12" width="13.57"/>
    <col customWidth="1" min="13" max="13" width="12.14"/>
    <col customWidth="1" hidden="1" min="14" max="14" width="11.14"/>
    <col customWidth="1" hidden="1" min="15" max="15" width="10.14"/>
    <col customWidth="1" min="16" max="16" width="12.29"/>
    <col customWidth="1" min="17" max="17" width="11.29"/>
    <col customWidth="1" min="18" max="19" width="12.43"/>
    <col customWidth="1" min="20" max="20" width="12.29"/>
    <col customWidth="1" min="21" max="21" width="10.86"/>
    <col customWidth="1" hidden="1" min="22" max="22" width="8.86"/>
    <col customWidth="1" hidden="1" min="23" max="23" width="11.57"/>
    <col customWidth="1" min="24" max="24" width="15.14"/>
    <col customWidth="1" min="25" max="44" width="11.43"/>
  </cols>
  <sheetData>
    <row r="1" ht="15.75" customHeight="1">
      <c r="A1" s="163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ht="15.75" customHeight="1">
      <c r="A2" s="163"/>
      <c r="B2" s="163"/>
      <c r="C2" s="163"/>
      <c r="D2" s="164" t="s">
        <v>0</v>
      </c>
      <c r="E2" s="164"/>
      <c r="F2" s="164"/>
      <c r="G2" s="164"/>
      <c r="H2" s="164"/>
      <c r="I2" s="164"/>
      <c r="J2" s="164"/>
      <c r="K2" s="164"/>
      <c r="L2" s="164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</row>
    <row r="3" ht="15.75" customHeight="1">
      <c r="A3" s="163"/>
      <c r="B3" s="163"/>
      <c r="C3" s="163"/>
      <c r="D3" s="164" t="s">
        <v>1</v>
      </c>
      <c r="E3" s="164"/>
      <c r="F3" s="164"/>
      <c r="G3" s="164"/>
      <c r="H3" s="164"/>
      <c r="I3" s="164"/>
      <c r="J3" s="164"/>
      <c r="K3" s="164"/>
      <c r="L3" s="164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</row>
    <row r="4" ht="15.75" customHeight="1">
      <c r="A4" s="163"/>
      <c r="B4" s="163"/>
      <c r="C4" s="163"/>
      <c r="D4" s="164" t="s">
        <v>56</v>
      </c>
      <c r="E4" s="164"/>
      <c r="F4" s="164"/>
      <c r="G4" s="164"/>
      <c r="H4" s="164"/>
      <c r="I4" s="164"/>
      <c r="J4" s="164"/>
      <c r="K4" s="164"/>
      <c r="L4" s="164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</row>
    <row r="5" ht="15.75" customHeight="1">
      <c r="A5" s="163"/>
      <c r="B5" s="163"/>
      <c r="C5" s="163"/>
      <c r="D5" s="165" t="s">
        <v>3</v>
      </c>
      <c r="E5" s="165" t="s">
        <v>57</v>
      </c>
      <c r="F5" s="165"/>
      <c r="G5" s="166"/>
      <c r="H5" s="164"/>
      <c r="I5" s="164"/>
      <c r="J5" s="164"/>
      <c r="K5" s="164"/>
      <c r="L5" s="164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</row>
    <row r="6" ht="15.75" customHeight="1">
      <c r="A6" s="163"/>
      <c r="B6" s="163"/>
      <c r="C6" s="163"/>
      <c r="D6" s="163"/>
      <c r="E6" s="163"/>
      <c r="F6" s="163"/>
      <c r="G6" s="163"/>
      <c r="H6" s="163"/>
      <c r="I6" s="163"/>
      <c r="J6" s="167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</row>
    <row r="7" ht="15.75" customHeight="1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</row>
    <row r="8" ht="15.75" customHeight="1">
      <c r="A8" s="163"/>
      <c r="B8" s="163"/>
      <c r="C8" s="164" t="s">
        <v>4</v>
      </c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</row>
    <row r="9" ht="16.5" customHeight="1">
      <c r="A9" s="163"/>
      <c r="B9" s="163"/>
      <c r="C9" s="164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</row>
    <row r="10" ht="16.5" customHeight="1">
      <c r="A10" s="163"/>
      <c r="B10" s="30"/>
      <c r="C10" s="1"/>
      <c r="D10" s="1"/>
      <c r="E10" s="31"/>
      <c r="F10" s="31"/>
      <c r="G10" s="1"/>
      <c r="H10" s="1"/>
      <c r="I10" s="1"/>
      <c r="J10" s="1"/>
      <c r="K10" s="1"/>
      <c r="L10" s="1"/>
      <c r="M10" s="1"/>
      <c r="N10" s="168"/>
      <c r="O10" s="168" t="s">
        <v>58</v>
      </c>
      <c r="P10" s="16" t="s">
        <v>59</v>
      </c>
      <c r="Q10" s="18" t="s">
        <v>60</v>
      </c>
      <c r="R10" s="18" t="s">
        <v>21</v>
      </c>
      <c r="S10" s="16" t="s">
        <v>18</v>
      </c>
      <c r="T10" s="18" t="s">
        <v>61</v>
      </c>
      <c r="U10" s="16" t="s">
        <v>62</v>
      </c>
      <c r="V10" s="16"/>
      <c r="X10" s="1"/>
      <c r="Y10" s="14"/>
    </row>
    <row r="11" ht="16.5" customHeight="1">
      <c r="A11" s="5"/>
      <c r="B11" s="6"/>
      <c r="C11" s="7"/>
      <c r="D11" s="7"/>
      <c r="E11" s="16" t="s">
        <v>8</v>
      </c>
      <c r="F11" s="16" t="s">
        <v>9</v>
      </c>
      <c r="G11" s="17" t="s">
        <v>10</v>
      </c>
      <c r="H11" s="17" t="s">
        <v>10</v>
      </c>
      <c r="I11" s="17" t="s">
        <v>11</v>
      </c>
      <c r="J11" s="18" t="s">
        <v>12</v>
      </c>
      <c r="K11" s="17" t="s">
        <v>13</v>
      </c>
      <c r="L11" s="17" t="s">
        <v>14</v>
      </c>
      <c r="M11" s="17" t="s">
        <v>15</v>
      </c>
      <c r="N11" s="16" t="s">
        <v>63</v>
      </c>
      <c r="O11" s="16" t="s">
        <v>64</v>
      </c>
      <c r="P11" s="16" t="s">
        <v>65</v>
      </c>
      <c r="Q11" s="25" t="s">
        <v>66</v>
      </c>
      <c r="R11" s="25" t="s">
        <v>34</v>
      </c>
      <c r="S11" s="18" t="s">
        <v>31</v>
      </c>
      <c r="T11" s="16" t="s">
        <v>67</v>
      </c>
      <c r="U11" s="18" t="s">
        <v>68</v>
      </c>
      <c r="V11" s="18" t="s">
        <v>69</v>
      </c>
      <c r="W11" s="18" t="s">
        <v>61</v>
      </c>
      <c r="X11" s="169"/>
      <c r="Y11" s="14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</row>
    <row r="12" ht="16.5" customHeight="1">
      <c r="A12" s="23"/>
      <c r="B12" s="24"/>
      <c r="C12" s="24"/>
      <c r="D12" s="24"/>
      <c r="E12" s="25" t="s">
        <v>24</v>
      </c>
      <c r="F12" s="25" t="s">
        <v>24</v>
      </c>
      <c r="G12" s="25" t="s">
        <v>24</v>
      </c>
      <c r="H12" s="25" t="s">
        <v>70</v>
      </c>
      <c r="I12" s="171" t="s">
        <v>25</v>
      </c>
      <c r="J12" s="171" t="s">
        <v>26</v>
      </c>
      <c r="K12" s="171" t="s">
        <v>24</v>
      </c>
      <c r="L12" s="171" t="s">
        <v>27</v>
      </c>
      <c r="M12" s="171" t="s">
        <v>28</v>
      </c>
      <c r="N12" s="172"/>
      <c r="O12" s="172"/>
      <c r="P12" s="25" t="s">
        <v>71</v>
      </c>
      <c r="Q12" s="25" t="s">
        <v>72</v>
      </c>
      <c r="R12" s="25"/>
      <c r="S12" s="25"/>
      <c r="T12" s="16"/>
      <c r="U12" s="25"/>
      <c r="V12" s="25"/>
      <c r="W12" s="25"/>
      <c r="X12" s="173" t="s">
        <v>37</v>
      </c>
      <c r="Y12" s="14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</row>
    <row r="13" ht="15.75" customHeight="1">
      <c r="A13" s="22"/>
      <c r="B13" s="1"/>
      <c r="C13" s="1"/>
      <c r="D13" s="1"/>
      <c r="E13" s="31"/>
      <c r="F13" s="31"/>
      <c r="G13" s="31"/>
      <c r="H13" s="31"/>
      <c r="I13" s="31"/>
      <c r="J13" s="31"/>
      <c r="K13" s="31"/>
      <c r="L13" s="31"/>
      <c r="M13" s="174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2"/>
      <c r="Y13" s="14"/>
      <c r="Z13" s="170"/>
      <c r="AA13" s="170"/>
      <c r="AB13" s="170"/>
      <c r="AC13" s="170"/>
      <c r="AD13" s="170"/>
      <c r="AE13" s="170"/>
      <c r="AF13" s="170"/>
      <c r="AG13" s="170"/>
      <c r="AH13" s="170"/>
      <c r="AI13" s="170"/>
      <c r="AJ13" s="170"/>
      <c r="AK13" s="170"/>
      <c r="AL13" s="170"/>
      <c r="AM13" s="170"/>
      <c r="AN13" s="170"/>
      <c r="AO13" s="170"/>
      <c r="AP13" s="170"/>
      <c r="AQ13" s="170"/>
      <c r="AR13" s="170"/>
    </row>
    <row r="14" ht="15.75" customHeight="1">
      <c r="A14" s="22"/>
      <c r="B14" s="30" t="s">
        <v>38</v>
      </c>
      <c r="C14" s="1"/>
      <c r="D14" s="1"/>
      <c r="E14" s="31"/>
      <c r="F14" s="31"/>
      <c r="G14" s="31"/>
      <c r="H14" s="31"/>
      <c r="I14" s="31"/>
      <c r="J14" s="31"/>
      <c r="K14" s="31"/>
      <c r="L14" s="31"/>
      <c r="M14" s="174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2"/>
      <c r="Y14" s="14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</row>
    <row r="15" ht="15.75" customHeight="1">
      <c r="A15" s="22"/>
      <c r="B15" s="30"/>
      <c r="C15" s="1"/>
      <c r="D15" s="1"/>
      <c r="E15" s="31"/>
      <c r="F15" s="31"/>
      <c r="G15" s="31"/>
      <c r="H15" s="31"/>
      <c r="I15" s="175"/>
      <c r="J15" s="175"/>
      <c r="K15" s="175"/>
      <c r="L15" s="175"/>
      <c r="M15" s="176"/>
      <c r="N15" s="31"/>
      <c r="O15" s="31"/>
      <c r="P15" s="31"/>
      <c r="Q15" s="31"/>
      <c r="R15" s="31"/>
      <c r="S15" s="175"/>
      <c r="T15" s="175"/>
      <c r="U15" s="175"/>
      <c r="V15" s="175"/>
      <c r="W15" s="31"/>
      <c r="X15" s="32"/>
      <c r="Y15" s="14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</row>
    <row r="16" ht="15.75" customHeight="1">
      <c r="A16" s="50">
        <v>1.0</v>
      </c>
      <c r="B16" s="51" t="s">
        <v>73</v>
      </c>
      <c r="C16" s="177" t="s">
        <v>39</v>
      </c>
      <c r="D16" s="53"/>
      <c r="E16" s="178"/>
      <c r="F16" s="178"/>
      <c r="G16" s="178"/>
      <c r="H16" s="178"/>
      <c r="I16" s="179"/>
      <c r="J16" s="180"/>
      <c r="K16" s="180"/>
      <c r="L16" s="181">
        <v>500.0</v>
      </c>
      <c r="M16" s="182"/>
      <c r="N16" s="183"/>
      <c r="O16" s="183"/>
      <c r="P16" s="183"/>
      <c r="Q16" s="179"/>
      <c r="R16" s="179"/>
      <c r="S16" s="184">
        <v>125.0</v>
      </c>
      <c r="T16" s="183"/>
      <c r="U16" s="183"/>
      <c r="V16" s="183"/>
      <c r="W16" s="183"/>
      <c r="X16" s="185">
        <f t="shared" ref="X16:X24" si="1">SUM(E16:W16)</f>
        <v>625</v>
      </c>
      <c r="Y16" s="14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</row>
    <row r="17" ht="15.75" customHeight="1">
      <c r="A17" s="50"/>
      <c r="B17" s="51"/>
      <c r="C17" s="52"/>
      <c r="D17" s="53"/>
      <c r="E17" s="178"/>
      <c r="F17" s="178"/>
      <c r="G17" s="178"/>
      <c r="H17" s="178"/>
      <c r="I17" s="180"/>
      <c r="J17" s="180"/>
      <c r="K17" s="180"/>
      <c r="L17" s="181"/>
      <c r="M17" s="186"/>
      <c r="N17" s="183"/>
      <c r="O17" s="183"/>
      <c r="P17" s="183"/>
      <c r="Q17" s="179"/>
      <c r="R17" s="179"/>
      <c r="S17" s="183"/>
      <c r="T17" s="179"/>
      <c r="U17" s="183"/>
      <c r="V17" s="183"/>
      <c r="W17" s="183"/>
      <c r="X17" s="185">
        <f t="shared" si="1"/>
        <v>0</v>
      </c>
      <c r="Y17" s="14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</row>
    <row r="18" ht="15.75" customHeight="1">
      <c r="A18" s="50">
        <v>2.0</v>
      </c>
      <c r="B18" s="51" t="s">
        <v>73</v>
      </c>
      <c r="C18" s="177" t="s">
        <v>40</v>
      </c>
      <c r="D18" s="53"/>
      <c r="E18" s="178"/>
      <c r="F18" s="178"/>
      <c r="G18" s="178"/>
      <c r="H18" s="178"/>
      <c r="I18" s="187">
        <v>1625.0</v>
      </c>
      <c r="J18" s="180"/>
      <c r="K18" s="180"/>
      <c r="L18" s="181">
        <v>800.0</v>
      </c>
      <c r="M18" s="188">
        <v>125.0</v>
      </c>
      <c r="N18" s="183"/>
      <c r="O18" s="183"/>
      <c r="P18" s="184">
        <v>11.83</v>
      </c>
      <c r="Q18" s="179"/>
      <c r="R18" s="187">
        <v>123.25</v>
      </c>
      <c r="S18" s="184">
        <v>125.0</v>
      </c>
      <c r="T18" s="179"/>
      <c r="U18" s="183"/>
      <c r="V18" s="183"/>
      <c r="W18" s="183"/>
      <c r="X18" s="185">
        <f t="shared" si="1"/>
        <v>2810.08</v>
      </c>
      <c r="Y18" s="14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</row>
    <row r="19" ht="15.75" customHeight="1">
      <c r="A19" s="50"/>
      <c r="B19" s="51"/>
      <c r="C19" s="52"/>
      <c r="D19" s="53"/>
      <c r="E19" s="178"/>
      <c r="F19" s="178"/>
      <c r="G19" s="178"/>
      <c r="H19" s="178"/>
      <c r="I19" s="180"/>
      <c r="J19" s="180"/>
      <c r="K19" s="180"/>
      <c r="L19" s="181"/>
      <c r="M19" s="186"/>
      <c r="N19" s="183"/>
      <c r="O19" s="183"/>
      <c r="P19" s="183"/>
      <c r="Q19" s="179"/>
      <c r="R19" s="179"/>
      <c r="S19" s="183"/>
      <c r="T19" s="179"/>
      <c r="U19" s="183"/>
      <c r="V19" s="183"/>
      <c r="W19" s="183"/>
      <c r="X19" s="185">
        <f t="shared" si="1"/>
        <v>0</v>
      </c>
      <c r="Y19" s="14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</row>
    <row r="20" ht="15.75" customHeight="1">
      <c r="A20" s="50">
        <v>3.0</v>
      </c>
      <c r="B20" s="51" t="s">
        <v>73</v>
      </c>
      <c r="C20" s="177" t="s">
        <v>43</v>
      </c>
      <c r="D20" s="53"/>
      <c r="E20" s="178"/>
      <c r="F20" s="178"/>
      <c r="G20" s="178">
        <v>1764.46</v>
      </c>
      <c r="H20" s="178"/>
      <c r="I20" s="187">
        <v>1650.0</v>
      </c>
      <c r="J20" s="187">
        <v>550.0</v>
      </c>
      <c r="K20" s="179"/>
      <c r="L20" s="181">
        <v>1000.0</v>
      </c>
      <c r="M20" s="182"/>
      <c r="N20" s="183"/>
      <c r="O20" s="183"/>
      <c r="P20" s="183"/>
      <c r="Q20" s="179"/>
      <c r="R20" s="179"/>
      <c r="S20" s="184">
        <v>125.0</v>
      </c>
      <c r="T20" s="187">
        <v>125.0</v>
      </c>
      <c r="U20" s="183"/>
      <c r="V20" s="183"/>
      <c r="W20" s="183"/>
      <c r="X20" s="185">
        <f t="shared" si="1"/>
        <v>5214.46</v>
      </c>
      <c r="Y20" s="14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</row>
    <row r="21" ht="15.75" customHeight="1">
      <c r="A21" s="50"/>
      <c r="B21" s="51"/>
      <c r="C21" s="52"/>
      <c r="D21" s="53"/>
      <c r="E21" s="178"/>
      <c r="F21" s="178"/>
      <c r="G21" s="178"/>
      <c r="H21" s="178"/>
      <c r="I21" s="179"/>
      <c r="J21" s="179"/>
      <c r="K21" s="179"/>
      <c r="L21" s="181"/>
      <c r="M21" s="186"/>
      <c r="N21" s="183"/>
      <c r="O21" s="183"/>
      <c r="P21" s="183"/>
      <c r="Q21" s="179"/>
      <c r="R21" s="179"/>
      <c r="S21" s="183"/>
      <c r="T21" s="179"/>
      <c r="U21" s="183"/>
      <c r="V21" s="183"/>
      <c r="W21" s="183"/>
      <c r="X21" s="185">
        <f t="shared" si="1"/>
        <v>0</v>
      </c>
      <c r="Y21" s="14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</row>
    <row r="22" ht="15.75" customHeight="1">
      <c r="A22" s="50">
        <v>5.0</v>
      </c>
      <c r="B22" s="51" t="s">
        <v>73</v>
      </c>
      <c r="C22" s="177" t="s">
        <v>45</v>
      </c>
      <c r="D22" s="53"/>
      <c r="E22" s="54"/>
      <c r="F22" s="178"/>
      <c r="G22" s="178"/>
      <c r="H22" s="178"/>
      <c r="I22" s="63">
        <v>2000.0</v>
      </c>
      <c r="J22" s="63">
        <v>1000.0</v>
      </c>
      <c r="K22" s="56"/>
      <c r="L22" s="57">
        <v>1100.0</v>
      </c>
      <c r="M22" s="46">
        <v>650.0</v>
      </c>
      <c r="N22" s="183"/>
      <c r="O22" s="183"/>
      <c r="P22" s="183"/>
      <c r="Q22" s="179"/>
      <c r="R22" s="179"/>
      <c r="S22" s="184">
        <v>125.0</v>
      </c>
      <c r="T22" s="56"/>
      <c r="U22" s="183"/>
      <c r="V22" s="183"/>
      <c r="W22" s="183"/>
      <c r="X22" s="185">
        <f t="shared" si="1"/>
        <v>4875</v>
      </c>
      <c r="Y22" s="14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</row>
    <row r="23" ht="15.75" customHeight="1">
      <c r="A23" s="50"/>
      <c r="B23" s="51"/>
      <c r="C23" s="52"/>
      <c r="D23" s="53"/>
      <c r="E23" s="54"/>
      <c r="F23" s="178"/>
      <c r="G23" s="178"/>
      <c r="H23" s="178"/>
      <c r="I23" s="45"/>
      <c r="J23" s="45"/>
      <c r="K23" s="45"/>
      <c r="L23" s="107"/>
      <c r="M23" s="56"/>
      <c r="N23" s="183"/>
      <c r="O23" s="183"/>
      <c r="P23" s="183"/>
      <c r="Q23" s="179"/>
      <c r="R23" s="179"/>
      <c r="S23" s="183"/>
      <c r="T23" s="45"/>
      <c r="U23" s="183"/>
      <c r="V23" s="183"/>
      <c r="W23" s="183"/>
      <c r="X23" s="185">
        <f t="shared" si="1"/>
        <v>0</v>
      </c>
      <c r="Y23" s="14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</row>
    <row r="24" ht="15.75" customHeight="1">
      <c r="A24" s="50">
        <v>6.0</v>
      </c>
      <c r="B24" s="51" t="s">
        <v>73</v>
      </c>
      <c r="C24" s="177" t="s">
        <v>46</v>
      </c>
      <c r="D24" s="53"/>
      <c r="E24" s="110">
        <v>1338.2</v>
      </c>
      <c r="F24" s="189"/>
      <c r="G24" s="189">
        <v>2210.49</v>
      </c>
      <c r="H24" s="178"/>
      <c r="I24" s="46">
        <v>1465.0</v>
      </c>
      <c r="J24" s="46">
        <v>550.0</v>
      </c>
      <c r="K24" s="45"/>
      <c r="L24" s="107">
        <v>600.0</v>
      </c>
      <c r="M24" s="46">
        <v>125.0</v>
      </c>
      <c r="N24" s="183"/>
      <c r="O24" s="183"/>
      <c r="P24" s="183"/>
      <c r="Q24" s="179"/>
      <c r="R24" s="179"/>
      <c r="S24" s="184">
        <v>125.0</v>
      </c>
      <c r="T24" s="56"/>
      <c r="U24" s="183"/>
      <c r="V24" s="183"/>
      <c r="W24" s="183"/>
      <c r="X24" s="185">
        <f t="shared" si="1"/>
        <v>6413.69</v>
      </c>
      <c r="Y24" s="14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</row>
    <row r="25" ht="15.75" customHeight="1">
      <c r="A25" s="50"/>
      <c r="B25" s="51"/>
      <c r="C25" s="52"/>
      <c r="D25" s="53"/>
      <c r="E25" s="54"/>
      <c r="F25" s="178"/>
      <c r="G25" s="178"/>
      <c r="H25" s="178"/>
      <c r="I25" s="45"/>
      <c r="J25" s="45"/>
      <c r="K25" s="45"/>
      <c r="L25" s="107"/>
      <c r="M25" s="56"/>
      <c r="N25" s="183"/>
      <c r="O25" s="183"/>
      <c r="P25" s="183"/>
      <c r="Q25" s="179"/>
      <c r="R25" s="179"/>
      <c r="S25" s="45"/>
      <c r="T25" s="45"/>
      <c r="U25" s="183"/>
      <c r="V25" s="183"/>
      <c r="W25" s="183"/>
      <c r="X25" s="185"/>
      <c r="Y25" s="14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</row>
    <row r="26" ht="15.75" customHeight="1">
      <c r="A26" s="50">
        <v>7.0</v>
      </c>
      <c r="B26" s="51" t="s">
        <v>73</v>
      </c>
      <c r="C26" s="177" t="s">
        <v>48</v>
      </c>
      <c r="D26" s="53"/>
      <c r="E26" s="54">
        <v>876.75</v>
      </c>
      <c r="F26" s="178"/>
      <c r="G26" s="178"/>
      <c r="H26" s="178"/>
      <c r="I26" s="56"/>
      <c r="J26" s="63">
        <v>550.0</v>
      </c>
      <c r="K26" s="56"/>
      <c r="L26" s="57">
        <v>500.0</v>
      </c>
      <c r="M26" s="45"/>
      <c r="N26" s="183"/>
      <c r="O26" s="183"/>
      <c r="P26" s="183"/>
      <c r="Q26" s="179"/>
      <c r="R26" s="179"/>
      <c r="S26" s="184">
        <v>125.0</v>
      </c>
      <c r="T26" s="56"/>
      <c r="U26" s="183"/>
      <c r="V26" s="183"/>
      <c r="W26" s="183"/>
      <c r="X26" s="185">
        <f t="shared" ref="X26:X27" si="2">SUM(E26:W26)</f>
        <v>2051.75</v>
      </c>
      <c r="Y26" s="14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</row>
    <row r="27" ht="16.5" customHeight="1">
      <c r="A27" s="50"/>
      <c r="B27" s="51"/>
      <c r="C27" s="52"/>
      <c r="D27" s="53"/>
      <c r="E27" s="54"/>
      <c r="F27" s="178"/>
      <c r="G27" s="178"/>
      <c r="H27" s="178"/>
      <c r="I27" s="54"/>
      <c r="J27" s="54"/>
      <c r="K27" s="54"/>
      <c r="L27" s="54"/>
      <c r="M27" s="62"/>
      <c r="N27" s="190"/>
      <c r="O27" s="190"/>
      <c r="P27" s="190"/>
      <c r="Q27" s="179"/>
      <c r="R27" s="179"/>
      <c r="S27" s="190"/>
      <c r="T27" s="54"/>
      <c r="U27" s="190"/>
      <c r="V27" s="190"/>
      <c r="W27" s="190"/>
      <c r="X27" s="185">
        <f t="shared" si="2"/>
        <v>0</v>
      </c>
      <c r="Y27" s="14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</row>
    <row r="28" ht="16.5" customHeight="1">
      <c r="A28" s="130"/>
      <c r="B28" s="131"/>
      <c r="C28" s="131"/>
      <c r="D28" s="191" t="s">
        <v>41</v>
      </c>
      <c r="E28" s="75">
        <f t="shared" ref="E28:X28" si="3">SUM(E16:E26)</f>
        <v>2214.95</v>
      </c>
      <c r="F28" s="75">
        <f t="shared" si="3"/>
        <v>0</v>
      </c>
      <c r="G28" s="75">
        <f t="shared" si="3"/>
        <v>3974.95</v>
      </c>
      <c r="H28" s="75">
        <f t="shared" si="3"/>
        <v>0</v>
      </c>
      <c r="I28" s="75">
        <f t="shared" si="3"/>
        <v>6740</v>
      </c>
      <c r="J28" s="75">
        <f t="shared" si="3"/>
        <v>2650</v>
      </c>
      <c r="K28" s="75">
        <f t="shared" si="3"/>
        <v>0</v>
      </c>
      <c r="L28" s="75">
        <f t="shared" si="3"/>
        <v>4500</v>
      </c>
      <c r="M28" s="75">
        <f t="shared" si="3"/>
        <v>900</v>
      </c>
      <c r="N28" s="75">
        <f t="shared" si="3"/>
        <v>0</v>
      </c>
      <c r="O28" s="75">
        <f t="shared" si="3"/>
        <v>0</v>
      </c>
      <c r="P28" s="75">
        <f t="shared" si="3"/>
        <v>11.83</v>
      </c>
      <c r="Q28" s="75">
        <f t="shared" si="3"/>
        <v>0</v>
      </c>
      <c r="R28" s="75">
        <f t="shared" si="3"/>
        <v>123.25</v>
      </c>
      <c r="S28" s="75">
        <f t="shared" si="3"/>
        <v>750</v>
      </c>
      <c r="T28" s="75">
        <f t="shared" si="3"/>
        <v>125</v>
      </c>
      <c r="U28" s="75">
        <f t="shared" si="3"/>
        <v>0</v>
      </c>
      <c r="V28" s="75">
        <f t="shared" si="3"/>
        <v>0</v>
      </c>
      <c r="W28" s="75">
        <f t="shared" si="3"/>
        <v>0</v>
      </c>
      <c r="X28" s="75">
        <f t="shared" si="3"/>
        <v>21989.98</v>
      </c>
      <c r="Y28" s="77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</row>
    <row r="29" ht="15.75" customHeight="1">
      <c r="A29" s="193"/>
      <c r="B29" s="95"/>
      <c r="C29" s="194"/>
      <c r="D29" s="95"/>
      <c r="E29" s="95"/>
      <c r="F29" s="95"/>
      <c r="G29" s="195"/>
      <c r="H29" s="195"/>
      <c r="I29" s="195"/>
      <c r="J29" s="195"/>
      <c r="K29" s="195"/>
      <c r="L29" s="195"/>
      <c r="M29" s="41"/>
      <c r="N29" s="41"/>
      <c r="O29" s="41"/>
      <c r="P29" s="41"/>
      <c r="Q29" s="196"/>
      <c r="R29" s="196"/>
      <c r="S29" s="196"/>
      <c r="T29" s="196"/>
      <c r="U29" s="196"/>
      <c r="V29" s="196"/>
      <c r="W29" s="196"/>
      <c r="X29" s="197"/>
      <c r="Y29" s="14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</row>
    <row r="30" ht="15.75" hidden="1" customHeight="1">
      <c r="A30" s="193"/>
      <c r="B30" s="95"/>
      <c r="C30" s="194"/>
      <c r="D30" s="95"/>
      <c r="E30" s="95"/>
      <c r="F30" s="95"/>
      <c r="G30" s="195"/>
      <c r="H30" s="195"/>
      <c r="I30" s="195"/>
      <c r="J30" s="195"/>
      <c r="K30" s="195"/>
      <c r="L30" s="195"/>
      <c r="M30" s="41"/>
      <c r="N30" s="41"/>
      <c r="O30" s="41"/>
      <c r="P30" s="41"/>
      <c r="Q30" s="196"/>
      <c r="R30" s="196"/>
      <c r="S30" s="196"/>
      <c r="T30" s="196"/>
      <c r="U30" s="196"/>
      <c r="V30" s="196"/>
      <c r="W30" s="196"/>
      <c r="X30" s="197"/>
      <c r="Y30" s="14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0"/>
      <c r="AL30" s="170"/>
      <c r="AM30" s="170"/>
      <c r="AN30" s="170"/>
      <c r="AO30" s="170"/>
      <c r="AP30" s="170"/>
      <c r="AQ30" s="170"/>
      <c r="AR30" s="170"/>
    </row>
    <row r="31" ht="15.75" hidden="1" customHeight="1">
      <c r="A31" s="198"/>
      <c r="B31" s="86" t="s">
        <v>74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199"/>
      <c r="Y31" s="14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0"/>
      <c r="AL31" s="170"/>
      <c r="AM31" s="170"/>
      <c r="AN31" s="170"/>
      <c r="AO31" s="170"/>
      <c r="AP31" s="170"/>
      <c r="AQ31" s="170"/>
      <c r="AR31" s="170"/>
    </row>
    <row r="32" ht="15.0" hidden="1" customHeight="1">
      <c r="A32" s="200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199"/>
      <c r="Y32" s="14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</row>
    <row r="33" ht="15.75" hidden="1" customHeight="1">
      <c r="A33" s="50"/>
      <c r="B33" s="99">
        <v>1.0</v>
      </c>
      <c r="C33" s="52" t="s">
        <v>75</v>
      </c>
      <c r="D33" s="53"/>
      <c r="E33" s="45"/>
      <c r="F33" s="45"/>
      <c r="G33" s="56"/>
      <c r="H33" s="56"/>
      <c r="I33" s="56"/>
      <c r="J33" s="201"/>
      <c r="K33" s="201"/>
      <c r="L33" s="201"/>
      <c r="M33" s="45"/>
      <c r="N33" s="183"/>
      <c r="O33" s="183"/>
      <c r="P33" s="183"/>
      <c r="Q33" s="179"/>
      <c r="R33" s="179"/>
      <c r="S33" s="56"/>
      <c r="T33" s="56"/>
      <c r="U33" s="56"/>
      <c r="V33" s="56"/>
      <c r="W33" s="56"/>
      <c r="X33" s="202"/>
      <c r="Y33" s="14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</row>
    <row r="34" ht="15.75" hidden="1" customHeight="1">
      <c r="A34" s="200"/>
      <c r="B34" s="53"/>
      <c r="C34" s="53"/>
      <c r="D34" s="53"/>
      <c r="E34" s="45"/>
      <c r="F34" s="45"/>
      <c r="G34" s="45"/>
      <c r="H34" s="45"/>
      <c r="I34" s="45"/>
      <c r="J34" s="53"/>
      <c r="K34" s="53"/>
      <c r="L34" s="201"/>
      <c r="M34" s="56"/>
      <c r="N34" s="183"/>
      <c r="O34" s="183"/>
      <c r="P34" s="183"/>
      <c r="Q34" s="179"/>
      <c r="R34" s="179"/>
      <c r="S34" s="45"/>
      <c r="T34" s="45"/>
      <c r="U34" s="45"/>
      <c r="V34" s="45"/>
      <c r="W34" s="45"/>
      <c r="X34" s="202"/>
      <c r="Y34" s="14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</row>
    <row r="35" ht="15.75" hidden="1" customHeight="1">
      <c r="A35" s="50"/>
      <c r="B35" s="99">
        <v>2.0</v>
      </c>
      <c r="C35" s="52" t="s">
        <v>76</v>
      </c>
      <c r="D35" s="53"/>
      <c r="E35" s="45"/>
      <c r="F35" s="45"/>
      <c r="G35" s="45"/>
      <c r="H35" s="45"/>
      <c r="I35" s="45"/>
      <c r="J35" s="201"/>
      <c r="K35" s="201"/>
      <c r="L35" s="201"/>
      <c r="M35" s="56"/>
      <c r="N35" s="183"/>
      <c r="O35" s="183"/>
      <c r="P35" s="183"/>
      <c r="Q35" s="179"/>
      <c r="R35" s="179"/>
      <c r="S35" s="56"/>
      <c r="T35" s="56"/>
      <c r="U35" s="56"/>
      <c r="V35" s="56"/>
      <c r="W35" s="56"/>
      <c r="X35" s="202"/>
      <c r="Y35" s="14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170"/>
      <c r="AO35" s="170"/>
      <c r="AP35" s="170"/>
      <c r="AQ35" s="170"/>
      <c r="AR35" s="170"/>
    </row>
    <row r="36" ht="15.75" hidden="1" customHeight="1">
      <c r="A36" s="200"/>
      <c r="B36" s="53"/>
      <c r="C36" s="53"/>
      <c r="D36" s="53"/>
      <c r="E36" s="45"/>
      <c r="F36" s="45"/>
      <c r="G36" s="45"/>
      <c r="H36" s="45"/>
      <c r="I36" s="45"/>
      <c r="J36" s="53"/>
      <c r="K36" s="53"/>
      <c r="L36" s="201"/>
      <c r="M36" s="56"/>
      <c r="N36" s="183"/>
      <c r="O36" s="183"/>
      <c r="P36" s="183"/>
      <c r="Q36" s="179"/>
      <c r="R36" s="179"/>
      <c r="S36" s="45"/>
      <c r="T36" s="45"/>
      <c r="U36" s="45"/>
      <c r="V36" s="45"/>
      <c r="W36" s="45"/>
      <c r="X36" s="202"/>
      <c r="Y36" s="14"/>
      <c r="Z36" s="170"/>
      <c r="AA36" s="170"/>
      <c r="AB36" s="170"/>
      <c r="AC36" s="170"/>
      <c r="AD36" s="170"/>
      <c r="AE36" s="170"/>
      <c r="AF36" s="170"/>
      <c r="AG36" s="170"/>
      <c r="AH36" s="170"/>
      <c r="AI36" s="170"/>
      <c r="AJ36" s="170"/>
      <c r="AK36" s="170"/>
      <c r="AL36" s="170"/>
      <c r="AM36" s="170"/>
      <c r="AN36" s="170"/>
      <c r="AO36" s="170"/>
      <c r="AP36" s="170"/>
      <c r="AQ36" s="170"/>
      <c r="AR36" s="170"/>
    </row>
    <row r="37" ht="15.75" hidden="1" customHeight="1">
      <c r="A37" s="50"/>
      <c r="B37" s="99">
        <v>3.0</v>
      </c>
      <c r="C37" s="52" t="s">
        <v>77</v>
      </c>
      <c r="D37" s="53"/>
      <c r="E37" s="45"/>
      <c r="F37" s="45"/>
      <c r="G37" s="56"/>
      <c r="H37" s="56"/>
      <c r="I37" s="56"/>
      <c r="J37" s="201"/>
      <c r="K37" s="201"/>
      <c r="L37" s="201"/>
      <c r="M37" s="45"/>
      <c r="N37" s="183"/>
      <c r="O37" s="183"/>
      <c r="P37" s="183"/>
      <c r="Q37" s="179"/>
      <c r="R37" s="179"/>
      <c r="S37" s="56"/>
      <c r="T37" s="56"/>
      <c r="U37" s="56"/>
      <c r="V37" s="56"/>
      <c r="W37" s="56"/>
      <c r="X37" s="202"/>
      <c r="Y37" s="14"/>
      <c r="Z37" s="170"/>
      <c r="AA37" s="170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70"/>
      <c r="AP37" s="170"/>
      <c r="AQ37" s="170"/>
      <c r="AR37" s="170"/>
    </row>
    <row r="38" ht="15.75" hidden="1" customHeight="1">
      <c r="A38" s="50"/>
      <c r="B38" s="99"/>
      <c r="C38" s="52"/>
      <c r="D38" s="53"/>
      <c r="E38" s="45"/>
      <c r="F38" s="45"/>
      <c r="G38" s="56"/>
      <c r="H38" s="56"/>
      <c r="I38" s="56"/>
      <c r="J38" s="201"/>
      <c r="K38" s="201"/>
      <c r="L38" s="201"/>
      <c r="M38" s="45"/>
      <c r="N38" s="183"/>
      <c r="O38" s="183"/>
      <c r="P38" s="183"/>
      <c r="Q38" s="179"/>
      <c r="R38" s="179"/>
      <c r="S38" s="56"/>
      <c r="T38" s="56"/>
      <c r="U38" s="56"/>
      <c r="V38" s="56"/>
      <c r="W38" s="56"/>
      <c r="X38" s="202"/>
      <c r="Y38" s="14"/>
      <c r="Z38" s="170"/>
      <c r="AA38" s="170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</row>
    <row r="39" ht="15.75" hidden="1" customHeight="1">
      <c r="A39" s="50"/>
      <c r="B39" s="99">
        <v>4.0</v>
      </c>
      <c r="C39" s="52" t="s">
        <v>78</v>
      </c>
      <c r="D39" s="53"/>
      <c r="E39" s="45"/>
      <c r="F39" s="45"/>
      <c r="G39" s="56"/>
      <c r="H39" s="56"/>
      <c r="I39" s="56"/>
      <c r="J39" s="201"/>
      <c r="K39" s="201"/>
      <c r="L39" s="201"/>
      <c r="M39" s="45"/>
      <c r="N39" s="183"/>
      <c r="O39" s="183"/>
      <c r="P39" s="183"/>
      <c r="Q39" s="179"/>
      <c r="R39" s="179"/>
      <c r="S39" s="56"/>
      <c r="T39" s="56"/>
      <c r="U39" s="56"/>
      <c r="V39" s="56"/>
      <c r="W39" s="56"/>
      <c r="X39" s="202"/>
      <c r="Y39" s="14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</row>
    <row r="40" ht="15.75" hidden="1" customHeight="1">
      <c r="A40" s="135"/>
      <c r="B40" s="67"/>
      <c r="C40" s="67"/>
      <c r="D40" s="67"/>
      <c r="E40" s="67"/>
      <c r="F40" s="67"/>
      <c r="G40" s="68"/>
      <c r="H40" s="68"/>
      <c r="I40" s="68"/>
      <c r="J40" s="67"/>
      <c r="K40" s="67"/>
      <c r="L40" s="203"/>
      <c r="M40" s="69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202"/>
      <c r="Y40" s="14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</row>
    <row r="41" ht="16.5" hidden="1" customHeight="1">
      <c r="A41" s="89"/>
      <c r="B41" s="204"/>
      <c r="C41" s="91"/>
      <c r="D41" s="205" t="s">
        <v>41</v>
      </c>
      <c r="E41" s="93">
        <f t="shared" ref="E41:O41" si="4">SUM(E33:E40)</f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93">
        <f t="shared" si="4"/>
        <v>0</v>
      </c>
      <c r="P41" s="93"/>
      <c r="Q41" s="93"/>
      <c r="R41" s="93"/>
      <c r="S41" s="93">
        <f t="shared" ref="S41:W41" si="5">SUM(S33:S40)</f>
        <v>0</v>
      </c>
      <c r="T41" s="93">
        <f t="shared" si="5"/>
        <v>0</v>
      </c>
      <c r="U41" s="93">
        <f t="shared" si="5"/>
        <v>0</v>
      </c>
      <c r="V41" s="93">
        <f t="shared" si="5"/>
        <v>0</v>
      </c>
      <c r="W41" s="93">
        <f t="shared" si="5"/>
        <v>0</v>
      </c>
      <c r="X41" s="94"/>
      <c r="Y41" s="14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</row>
    <row r="42" ht="15.0" customHeight="1">
      <c r="A42" s="193"/>
      <c r="B42" s="95"/>
      <c r="C42" s="95"/>
      <c r="D42" s="95"/>
      <c r="E42" s="95"/>
      <c r="F42" s="95"/>
      <c r="G42" s="44"/>
      <c r="H42" s="44"/>
      <c r="I42" s="44"/>
      <c r="J42" s="95"/>
      <c r="K42" s="95"/>
      <c r="L42" s="206"/>
      <c r="M42" s="41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134"/>
      <c r="Y42" s="14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</row>
    <row r="43" ht="15.75" customHeight="1">
      <c r="A43" s="50"/>
      <c r="B43" s="86" t="s">
        <v>42</v>
      </c>
      <c r="C43" s="53"/>
      <c r="D43" s="53"/>
      <c r="E43" s="53"/>
      <c r="F43" s="53"/>
      <c r="G43" s="56"/>
      <c r="H43" s="56"/>
      <c r="I43" s="56"/>
      <c r="J43" s="201"/>
      <c r="K43" s="201"/>
      <c r="L43" s="201"/>
      <c r="M43" s="45"/>
      <c r="N43" s="45"/>
      <c r="O43" s="45"/>
      <c r="P43" s="45"/>
      <c r="Q43" s="56"/>
      <c r="R43" s="56"/>
      <c r="S43" s="56"/>
      <c r="T43" s="56"/>
      <c r="U43" s="56"/>
      <c r="V43" s="56"/>
      <c r="W43" s="56"/>
      <c r="X43" s="199"/>
      <c r="Y43" s="14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</row>
    <row r="44" ht="15.0" customHeight="1">
      <c r="A44" s="200"/>
      <c r="B44" s="53"/>
      <c r="C44" s="53"/>
      <c r="D44" s="53"/>
      <c r="E44" s="53"/>
      <c r="F44" s="53"/>
      <c r="G44" s="45"/>
      <c r="H44" s="45"/>
      <c r="I44" s="45"/>
      <c r="J44" s="53"/>
      <c r="K44" s="53"/>
      <c r="L44" s="201"/>
      <c r="M44" s="56"/>
      <c r="N44" s="45"/>
      <c r="O44" s="45"/>
      <c r="P44" s="45"/>
      <c r="Q44" s="56"/>
      <c r="R44" s="56"/>
      <c r="S44" s="45"/>
      <c r="T44" s="45"/>
      <c r="U44" s="45"/>
      <c r="V44" s="45"/>
      <c r="W44" s="45"/>
      <c r="X44" s="199"/>
      <c r="Y44" s="14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</row>
    <row r="45" ht="15.75" customHeight="1">
      <c r="A45" s="50"/>
      <c r="B45" s="99">
        <v>1.0</v>
      </c>
      <c r="C45" s="177" t="s">
        <v>50</v>
      </c>
      <c r="D45" s="53"/>
      <c r="E45" s="113"/>
      <c r="F45" s="54"/>
      <c r="G45" s="62"/>
      <c r="H45" s="62"/>
      <c r="I45" s="63">
        <v>2370.0</v>
      </c>
      <c r="J45" s="207">
        <v>550.0</v>
      </c>
      <c r="K45" s="201"/>
      <c r="L45" s="208">
        <v>1300.0</v>
      </c>
      <c r="M45" s="45"/>
      <c r="N45" s="45"/>
      <c r="O45" s="45"/>
      <c r="P45" s="45"/>
      <c r="Q45" s="56"/>
      <c r="R45" s="63">
        <v>92.44</v>
      </c>
      <c r="S45" s="63">
        <v>125.0</v>
      </c>
      <c r="T45" s="56"/>
      <c r="U45" s="56"/>
      <c r="V45" s="56"/>
      <c r="W45" s="183"/>
      <c r="X45" s="202">
        <f t="shared" ref="X45:X49" si="6">SUM(E45:W45)</f>
        <v>4437.44</v>
      </c>
      <c r="Y45" s="14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</row>
    <row r="46" ht="15.75" customHeight="1">
      <c r="A46" s="50"/>
      <c r="B46" s="99"/>
      <c r="C46" s="52"/>
      <c r="D46" s="53"/>
      <c r="E46" s="54"/>
      <c r="F46" s="54"/>
      <c r="G46" s="62"/>
      <c r="H46" s="62"/>
      <c r="I46" s="56"/>
      <c r="J46" s="201"/>
      <c r="K46" s="201"/>
      <c r="L46" s="208"/>
      <c r="M46" s="45"/>
      <c r="N46" s="45"/>
      <c r="O46" s="45"/>
      <c r="P46" s="45"/>
      <c r="Q46" s="179"/>
      <c r="R46" s="179"/>
      <c r="S46" s="56"/>
      <c r="T46" s="56"/>
      <c r="U46" s="56"/>
      <c r="V46" s="56"/>
      <c r="W46" s="183"/>
      <c r="X46" s="202">
        <f t="shared" si="6"/>
        <v>0</v>
      </c>
      <c r="Y46" s="14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</row>
    <row r="47" ht="15.75" customHeight="1">
      <c r="A47" s="50"/>
      <c r="B47" s="99">
        <v>2.0</v>
      </c>
      <c r="C47" s="177" t="s">
        <v>52</v>
      </c>
      <c r="D47" s="53"/>
      <c r="E47" s="54"/>
      <c r="F47" s="54"/>
      <c r="G47" s="62"/>
      <c r="H47" s="62"/>
      <c r="I47" s="63">
        <v>760.0</v>
      </c>
      <c r="J47" s="207">
        <v>550.0</v>
      </c>
      <c r="K47" s="201"/>
      <c r="L47" s="208">
        <v>500.0</v>
      </c>
      <c r="M47" s="107"/>
      <c r="N47" s="183"/>
      <c r="O47" s="183"/>
      <c r="P47" s="45"/>
      <c r="Q47" s="56"/>
      <c r="R47" s="63">
        <v>147.9</v>
      </c>
      <c r="S47" s="63">
        <v>125.0</v>
      </c>
      <c r="T47" s="56"/>
      <c r="U47" s="56"/>
      <c r="V47" s="56"/>
      <c r="W47" s="183"/>
      <c r="X47" s="202">
        <f t="shared" si="6"/>
        <v>2082.9</v>
      </c>
      <c r="Y47" s="14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</row>
    <row r="48" ht="15.75" customHeight="1">
      <c r="A48" s="200"/>
      <c r="B48" s="53"/>
      <c r="C48" s="52"/>
      <c r="D48" s="53"/>
      <c r="E48" s="54"/>
      <c r="F48" s="54"/>
      <c r="G48" s="62"/>
      <c r="H48" s="62"/>
      <c r="I48" s="45"/>
      <c r="J48" s="53"/>
      <c r="K48" s="53"/>
      <c r="L48" s="208"/>
      <c r="M48" s="56"/>
      <c r="N48" s="183"/>
      <c r="O48" s="183"/>
      <c r="P48" s="45"/>
      <c r="Q48" s="179"/>
      <c r="R48" s="179"/>
      <c r="S48" s="56"/>
      <c r="T48" s="45"/>
      <c r="U48" s="45"/>
      <c r="V48" s="45"/>
      <c r="W48" s="183"/>
      <c r="X48" s="202">
        <f t="shared" si="6"/>
        <v>0</v>
      </c>
      <c r="Y48" s="14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</row>
    <row r="49" ht="15.75" customHeight="1">
      <c r="A49" s="50"/>
      <c r="B49" s="99">
        <v>3.0</v>
      </c>
      <c r="C49" s="177" t="s">
        <v>54</v>
      </c>
      <c r="D49" s="53"/>
      <c r="E49" s="54"/>
      <c r="F49" s="54"/>
      <c r="G49" s="62">
        <v>1398.86</v>
      </c>
      <c r="H49" s="62"/>
      <c r="I49" s="63">
        <v>1550.0</v>
      </c>
      <c r="J49" s="207">
        <v>500.0</v>
      </c>
      <c r="K49" s="201"/>
      <c r="L49" s="208">
        <v>800.0</v>
      </c>
      <c r="M49" s="45"/>
      <c r="N49" s="183"/>
      <c r="O49" s="183"/>
      <c r="P49" s="45"/>
      <c r="Q49" s="56"/>
      <c r="R49" s="56"/>
      <c r="S49" s="63">
        <v>125.0</v>
      </c>
      <c r="T49" s="56"/>
      <c r="U49" s="56"/>
      <c r="V49" s="56"/>
      <c r="W49" s="183"/>
      <c r="X49" s="202">
        <f t="shared" si="6"/>
        <v>4373.86</v>
      </c>
      <c r="Y49" s="14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</row>
    <row r="50" ht="16.5" customHeight="1">
      <c r="A50" s="135"/>
      <c r="B50" s="101"/>
      <c r="C50" s="66"/>
      <c r="D50" s="67"/>
      <c r="E50" s="67"/>
      <c r="F50" s="67"/>
      <c r="G50" s="68"/>
      <c r="H50" s="68"/>
      <c r="I50" s="68"/>
      <c r="J50" s="67"/>
      <c r="K50" s="67"/>
      <c r="L50" s="203"/>
      <c r="M50" s="103"/>
      <c r="N50" s="102"/>
      <c r="O50" s="102"/>
      <c r="P50" s="102"/>
      <c r="Q50" s="102"/>
      <c r="R50" s="102"/>
      <c r="S50" s="102"/>
      <c r="T50" s="102"/>
      <c r="U50" s="68"/>
      <c r="V50" s="68"/>
      <c r="W50" s="68"/>
      <c r="X50" s="202"/>
      <c r="Y50" s="14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</row>
    <row r="51" ht="16.5" customHeight="1">
      <c r="A51" s="71"/>
      <c r="B51" s="104"/>
      <c r="C51" s="73"/>
      <c r="D51" s="191" t="s">
        <v>41</v>
      </c>
      <c r="E51" s="75">
        <f t="shared" ref="E51:U51" si="7">SUM(E45:E49)</f>
        <v>0</v>
      </c>
      <c r="F51" s="75">
        <f t="shared" si="7"/>
        <v>0</v>
      </c>
      <c r="G51" s="75">
        <f t="shared" si="7"/>
        <v>1398.86</v>
      </c>
      <c r="H51" s="75">
        <f t="shared" si="7"/>
        <v>0</v>
      </c>
      <c r="I51" s="75">
        <f t="shared" si="7"/>
        <v>4680</v>
      </c>
      <c r="J51" s="75">
        <f t="shared" si="7"/>
        <v>1600</v>
      </c>
      <c r="K51" s="75">
        <f t="shared" si="7"/>
        <v>0</v>
      </c>
      <c r="L51" s="75">
        <f t="shared" si="7"/>
        <v>2600</v>
      </c>
      <c r="M51" s="75">
        <f t="shared" si="7"/>
        <v>0</v>
      </c>
      <c r="N51" s="75">
        <f t="shared" si="7"/>
        <v>0</v>
      </c>
      <c r="O51" s="75">
        <f t="shared" si="7"/>
        <v>0</v>
      </c>
      <c r="P51" s="75">
        <f t="shared" si="7"/>
        <v>0</v>
      </c>
      <c r="Q51" s="75">
        <f t="shared" si="7"/>
        <v>0</v>
      </c>
      <c r="R51" s="75">
        <f t="shared" si="7"/>
        <v>240.34</v>
      </c>
      <c r="S51" s="75">
        <f t="shared" si="7"/>
        <v>375</v>
      </c>
      <c r="T51" s="75">
        <f t="shared" si="7"/>
        <v>0</v>
      </c>
      <c r="U51" s="75">
        <f t="shared" si="7"/>
        <v>0</v>
      </c>
      <c r="V51" s="75">
        <f t="shared" ref="V51:W51" si="8">+V45+V47+V49</f>
        <v>0</v>
      </c>
      <c r="W51" s="75">
        <f t="shared" si="8"/>
        <v>0</v>
      </c>
      <c r="X51" s="76">
        <f>SUM(X45:X49)</f>
        <v>10894.2</v>
      </c>
      <c r="Y51" s="77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</row>
    <row r="52" ht="15.75" customHeight="1">
      <c r="A52" s="79"/>
      <c r="B52" s="105"/>
      <c r="C52" s="81"/>
      <c r="D52" s="209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83"/>
      <c r="Y52" s="14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</row>
    <row r="53" ht="15.75" customHeight="1">
      <c r="A53" s="200"/>
      <c r="B53" s="99"/>
      <c r="C53" s="51"/>
      <c r="D53" s="52"/>
      <c r="E53" s="210"/>
      <c r="F53" s="53"/>
      <c r="G53" s="45"/>
      <c r="H53" s="45"/>
      <c r="I53" s="45"/>
      <c r="J53" s="53"/>
      <c r="K53" s="53"/>
      <c r="L53" s="201"/>
      <c r="M53" s="56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199"/>
      <c r="Y53" s="14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</row>
    <row r="54" ht="15.75" customHeight="1">
      <c r="A54" s="50"/>
      <c r="B54" s="86" t="s">
        <v>47</v>
      </c>
      <c r="C54" s="53"/>
      <c r="D54" s="53"/>
      <c r="E54" s="53"/>
      <c r="F54" s="53"/>
      <c r="G54" s="56"/>
      <c r="H54" s="56"/>
      <c r="I54" s="56"/>
      <c r="J54" s="201"/>
      <c r="K54" s="201"/>
      <c r="L54" s="201"/>
      <c r="M54" s="45"/>
      <c r="N54" s="45"/>
      <c r="O54" s="45"/>
      <c r="P54" s="45"/>
      <c r="Q54" s="56"/>
      <c r="R54" s="56"/>
      <c r="S54" s="56"/>
      <c r="T54" s="56"/>
      <c r="U54" s="56"/>
      <c r="V54" s="56"/>
      <c r="W54" s="56"/>
      <c r="X54" s="199"/>
      <c r="Y54" s="14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</row>
    <row r="55" ht="15.0" customHeight="1">
      <c r="A55" s="200"/>
      <c r="B55" s="99"/>
      <c r="C55" s="51"/>
      <c r="D55" s="52"/>
      <c r="E55" s="53"/>
      <c r="F55" s="53"/>
      <c r="G55" s="45"/>
      <c r="H55" s="45"/>
      <c r="I55" s="45"/>
      <c r="J55" s="53"/>
      <c r="K55" s="53"/>
      <c r="L55" s="201"/>
      <c r="M55" s="56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199"/>
      <c r="Y55" s="14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</row>
    <row r="56" ht="15.75" customHeight="1">
      <c r="A56" s="50"/>
      <c r="B56" s="99">
        <v>1.0</v>
      </c>
      <c r="C56" s="177" t="s">
        <v>79</v>
      </c>
      <c r="D56" s="53"/>
      <c r="E56" s="54"/>
      <c r="F56" s="54">
        <v>700.0</v>
      </c>
      <c r="G56" s="62">
        <v>639.05</v>
      </c>
      <c r="H56" s="62"/>
      <c r="I56" s="63">
        <v>1120.0</v>
      </c>
      <c r="J56" s="207">
        <v>550.0</v>
      </c>
      <c r="K56" s="201"/>
      <c r="L56" s="208">
        <v>1100.0</v>
      </c>
      <c r="M56" s="45"/>
      <c r="N56" s="183"/>
      <c r="O56" s="183"/>
      <c r="P56" s="183"/>
      <c r="Q56" s="179"/>
      <c r="R56" s="179"/>
      <c r="S56" s="63">
        <v>125.0</v>
      </c>
      <c r="T56" s="56"/>
      <c r="U56" s="56"/>
      <c r="V56" s="56"/>
      <c r="W56" s="183"/>
      <c r="X56" s="202">
        <f>SUM(E56:W56)</f>
        <v>4234.05</v>
      </c>
      <c r="Y56" s="14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</row>
    <row r="57" ht="15.75" customHeight="1">
      <c r="A57" s="50"/>
      <c r="B57" s="99"/>
      <c r="C57" s="52"/>
      <c r="D57" s="53"/>
      <c r="E57" s="54"/>
      <c r="F57" s="54"/>
      <c r="G57" s="62"/>
      <c r="H57" s="62"/>
      <c r="I57" s="56"/>
      <c r="J57" s="201"/>
      <c r="K57" s="201"/>
      <c r="L57" s="208"/>
      <c r="M57" s="45"/>
      <c r="N57" s="183"/>
      <c r="O57" s="183"/>
      <c r="P57" s="183"/>
      <c r="Q57" s="179"/>
      <c r="R57" s="179"/>
      <c r="S57" s="56"/>
      <c r="T57" s="56"/>
      <c r="U57" s="56"/>
      <c r="V57" s="56"/>
      <c r="W57" s="183"/>
      <c r="X57" s="202"/>
      <c r="Y57" s="14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</row>
    <row r="58" ht="15.75" customHeight="1">
      <c r="A58" s="50"/>
      <c r="B58" s="99">
        <v>2.0</v>
      </c>
      <c r="C58" s="177" t="s">
        <v>80</v>
      </c>
      <c r="D58" s="53"/>
      <c r="E58" s="54"/>
      <c r="F58" s="54"/>
      <c r="G58" s="62"/>
      <c r="H58" s="62"/>
      <c r="I58" s="56"/>
      <c r="J58" s="201"/>
      <c r="K58" s="201"/>
      <c r="L58" s="208">
        <v>1000.0</v>
      </c>
      <c r="M58" s="45"/>
      <c r="N58" s="183"/>
      <c r="O58" s="183"/>
      <c r="P58" s="183"/>
      <c r="Q58" s="179"/>
      <c r="R58" s="179"/>
      <c r="S58" s="63">
        <v>125.0</v>
      </c>
      <c r="T58" s="56"/>
      <c r="U58" s="56"/>
      <c r="V58" s="56"/>
      <c r="W58" s="183"/>
      <c r="X58" s="202">
        <f t="shared" ref="X58:X68" si="9">SUM(E58:W58)</f>
        <v>1125</v>
      </c>
      <c r="Y58" s="14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</row>
    <row r="59" ht="15.75" customHeight="1">
      <c r="A59" s="200"/>
      <c r="B59" s="53"/>
      <c r="C59" s="53"/>
      <c r="D59" s="53"/>
      <c r="E59" s="54"/>
      <c r="F59" s="54"/>
      <c r="G59" s="54"/>
      <c r="H59" s="54"/>
      <c r="I59" s="45"/>
      <c r="J59" s="53"/>
      <c r="K59" s="53"/>
      <c r="L59" s="208"/>
      <c r="M59" s="56"/>
      <c r="N59" s="183"/>
      <c r="O59" s="183"/>
      <c r="P59" s="183"/>
      <c r="Q59" s="179"/>
      <c r="R59" s="179"/>
      <c r="S59" s="56"/>
      <c r="T59" s="45"/>
      <c r="U59" s="45"/>
      <c r="V59" s="45"/>
      <c r="W59" s="183"/>
      <c r="X59" s="202">
        <f t="shared" si="9"/>
        <v>0</v>
      </c>
      <c r="Y59" s="14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</row>
    <row r="60" ht="15.75" customHeight="1">
      <c r="A60" s="50"/>
      <c r="B60" s="99">
        <v>3.0</v>
      </c>
      <c r="C60" s="177" t="s">
        <v>81</v>
      </c>
      <c r="D60" s="53"/>
      <c r="E60" s="178"/>
      <c r="F60" s="178"/>
      <c r="G60" s="178"/>
      <c r="H60" s="178"/>
      <c r="I60" s="187">
        <v>2400.0</v>
      </c>
      <c r="J60" s="187">
        <v>550.0</v>
      </c>
      <c r="K60" s="179"/>
      <c r="L60" s="181">
        <v>1500.0</v>
      </c>
      <c r="M60" s="186"/>
      <c r="N60" s="183"/>
      <c r="O60" s="183"/>
      <c r="P60" s="183"/>
      <c r="Q60" s="179"/>
      <c r="R60" s="179"/>
      <c r="S60" s="184">
        <v>125.0</v>
      </c>
      <c r="T60" s="179"/>
      <c r="U60" s="183"/>
      <c r="V60" s="183"/>
      <c r="W60" s="183"/>
      <c r="X60" s="185">
        <f t="shared" si="9"/>
        <v>4575</v>
      </c>
      <c r="Y60" s="14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</row>
    <row r="61" ht="15.75" customHeight="1">
      <c r="A61" s="50"/>
      <c r="B61" s="53"/>
      <c r="C61" s="52"/>
      <c r="D61" s="53"/>
      <c r="E61" s="54"/>
      <c r="F61" s="178"/>
      <c r="G61" s="178"/>
      <c r="H61" s="178"/>
      <c r="I61" s="45"/>
      <c r="J61" s="45"/>
      <c r="K61" s="45"/>
      <c r="L61" s="107"/>
      <c r="M61" s="45"/>
      <c r="N61" s="183"/>
      <c r="O61" s="183"/>
      <c r="P61" s="183"/>
      <c r="Q61" s="179"/>
      <c r="R61" s="179"/>
      <c r="S61" s="183"/>
      <c r="T61" s="45"/>
      <c r="U61" s="183"/>
      <c r="V61" s="183"/>
      <c r="W61" s="183"/>
      <c r="X61" s="185">
        <f t="shared" si="9"/>
        <v>0</v>
      </c>
      <c r="Y61" s="14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</row>
    <row r="62" ht="15.75" customHeight="1">
      <c r="A62" s="50"/>
      <c r="B62" s="99">
        <v>4.0</v>
      </c>
      <c r="C62" s="177" t="s">
        <v>82</v>
      </c>
      <c r="D62" s="53"/>
      <c r="E62" s="54">
        <v>1000.0</v>
      </c>
      <c r="F62" s="54"/>
      <c r="G62" s="62"/>
      <c r="H62" s="62"/>
      <c r="I62" s="211">
        <v>1635.0</v>
      </c>
      <c r="J62" s="212">
        <v>550.0</v>
      </c>
      <c r="K62" s="208"/>
      <c r="L62" s="208">
        <v>600.0</v>
      </c>
      <c r="M62" s="107"/>
      <c r="N62" s="213"/>
      <c r="O62" s="213"/>
      <c r="P62" s="183"/>
      <c r="Q62" s="179"/>
      <c r="R62" s="179"/>
      <c r="S62" s="63">
        <v>125.0</v>
      </c>
      <c r="T62" s="56"/>
      <c r="U62" s="56"/>
      <c r="V62" s="56"/>
      <c r="W62" s="183"/>
      <c r="X62" s="202">
        <f t="shared" si="9"/>
        <v>3910</v>
      </c>
      <c r="Y62" s="14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</row>
    <row r="63" ht="15.75" customHeight="1">
      <c r="A63" s="200"/>
      <c r="B63" s="53"/>
      <c r="C63" s="53"/>
      <c r="D63" s="53"/>
      <c r="E63" s="54"/>
      <c r="F63" s="54"/>
      <c r="G63" s="54"/>
      <c r="H63" s="54"/>
      <c r="I63" s="107"/>
      <c r="J63" s="214"/>
      <c r="K63" s="214"/>
      <c r="L63" s="208"/>
      <c r="M63" s="107"/>
      <c r="N63" s="183"/>
      <c r="O63" s="183"/>
      <c r="P63" s="183"/>
      <c r="Q63" s="179"/>
      <c r="R63" s="179"/>
      <c r="S63" s="56"/>
      <c r="T63" s="45"/>
      <c r="U63" s="45"/>
      <c r="V63" s="45"/>
      <c r="W63" s="183"/>
      <c r="X63" s="202">
        <f t="shared" si="9"/>
        <v>0</v>
      </c>
      <c r="Y63" s="14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</row>
    <row r="64" ht="15.75" customHeight="1">
      <c r="A64" s="50"/>
      <c r="B64" s="99">
        <v>5.0</v>
      </c>
      <c r="C64" s="177" t="s">
        <v>83</v>
      </c>
      <c r="D64" s="53"/>
      <c r="E64" s="113"/>
      <c r="F64" s="54"/>
      <c r="G64" s="110">
        <v>1190.0</v>
      </c>
      <c r="H64" s="62"/>
      <c r="I64" s="96">
        <v>1655.0</v>
      </c>
      <c r="J64" s="212">
        <v>550.0</v>
      </c>
      <c r="K64" s="208"/>
      <c r="L64" s="208">
        <v>1000.0</v>
      </c>
      <c r="M64" s="107"/>
      <c r="N64" s="183"/>
      <c r="O64" s="183"/>
      <c r="P64" s="184">
        <v>157.5</v>
      </c>
      <c r="Q64" s="187">
        <v>200.0</v>
      </c>
      <c r="R64" s="179"/>
      <c r="S64" s="63">
        <v>125.0</v>
      </c>
      <c r="T64" s="45"/>
      <c r="U64" s="46">
        <v>376.23</v>
      </c>
      <c r="V64" s="45"/>
      <c r="W64" s="183"/>
      <c r="X64" s="202">
        <f t="shared" si="9"/>
        <v>5253.73</v>
      </c>
      <c r="Y64" s="14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</row>
    <row r="65" ht="15.75" customHeight="1">
      <c r="A65" s="200"/>
      <c r="B65" s="53"/>
      <c r="C65" s="53"/>
      <c r="D65" s="53"/>
      <c r="E65" s="54"/>
      <c r="F65" s="54"/>
      <c r="G65" s="54"/>
      <c r="H65" s="54"/>
      <c r="I65" s="45"/>
      <c r="J65" s="53"/>
      <c r="K65" s="53"/>
      <c r="L65" s="208"/>
      <c r="M65" s="56"/>
      <c r="N65" s="183"/>
      <c r="O65" s="183"/>
      <c r="P65" s="183"/>
      <c r="Q65" s="179"/>
      <c r="R65" s="179"/>
      <c r="S65" s="56"/>
      <c r="T65" s="45"/>
      <c r="U65" s="45"/>
      <c r="V65" s="45"/>
      <c r="W65" s="45"/>
      <c r="X65" s="202">
        <f t="shared" si="9"/>
        <v>0</v>
      </c>
      <c r="Y65" s="14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</row>
    <row r="66" ht="15.75" customHeight="1">
      <c r="A66" s="50"/>
      <c r="B66" s="99">
        <v>6.0</v>
      </c>
      <c r="C66" s="177" t="s">
        <v>84</v>
      </c>
      <c r="D66" s="53"/>
      <c r="E66" s="54"/>
      <c r="F66" s="54"/>
      <c r="G66" s="62"/>
      <c r="H66" s="62"/>
      <c r="I66" s="63">
        <v>1560.0</v>
      </c>
      <c r="J66" s="207">
        <v>550.0</v>
      </c>
      <c r="K66" s="201"/>
      <c r="L66" s="208">
        <v>1000.0</v>
      </c>
      <c r="M66" s="63">
        <v>1250.0</v>
      </c>
      <c r="N66" s="183"/>
      <c r="O66" s="183"/>
      <c r="P66" s="183"/>
      <c r="Q66" s="179"/>
      <c r="R66" s="179"/>
      <c r="S66" s="63">
        <v>125.0</v>
      </c>
      <c r="T66" s="56"/>
      <c r="U66" s="56"/>
      <c r="V66" s="56"/>
      <c r="W66" s="183"/>
      <c r="X66" s="202">
        <f t="shared" si="9"/>
        <v>4485</v>
      </c>
      <c r="Y66" s="14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</row>
    <row r="67" ht="15.75" customHeight="1">
      <c r="A67" s="200"/>
      <c r="B67" s="53"/>
      <c r="C67" s="53"/>
      <c r="D67" s="53"/>
      <c r="E67" s="54"/>
      <c r="F67" s="54"/>
      <c r="G67" s="54"/>
      <c r="H67" s="54"/>
      <c r="I67" s="45"/>
      <c r="J67" s="53"/>
      <c r="K67" s="53"/>
      <c r="L67" s="208"/>
      <c r="M67" s="45"/>
      <c r="N67" s="183"/>
      <c r="O67" s="183"/>
      <c r="P67" s="183"/>
      <c r="Q67" s="179"/>
      <c r="R67" s="179"/>
      <c r="S67" s="56"/>
      <c r="T67" s="45"/>
      <c r="U67" s="45"/>
      <c r="V67" s="45"/>
      <c r="W67" s="183"/>
      <c r="X67" s="202">
        <f t="shared" si="9"/>
        <v>0</v>
      </c>
      <c r="Y67" s="14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</row>
    <row r="68" ht="15.75" customHeight="1">
      <c r="A68" s="50"/>
      <c r="B68" s="99">
        <v>7.0</v>
      </c>
      <c r="C68" s="177" t="s">
        <v>85</v>
      </c>
      <c r="D68" s="53"/>
      <c r="E68" s="54">
        <v>1000.0</v>
      </c>
      <c r="F68" s="54"/>
      <c r="G68" s="62"/>
      <c r="H68" s="62"/>
      <c r="I68" s="63">
        <v>1285.0</v>
      </c>
      <c r="J68" s="207">
        <v>550.0</v>
      </c>
      <c r="K68" s="201"/>
      <c r="L68" s="208">
        <v>800.0</v>
      </c>
      <c r="M68" s="45"/>
      <c r="N68" s="183"/>
      <c r="O68" s="183"/>
      <c r="P68" s="183"/>
      <c r="Q68" s="179"/>
      <c r="R68" s="179"/>
      <c r="S68" s="63">
        <v>125.0</v>
      </c>
      <c r="T68" s="56"/>
      <c r="U68" s="56"/>
      <c r="V68" s="56"/>
      <c r="W68" s="183"/>
      <c r="X68" s="202">
        <f t="shared" si="9"/>
        <v>3760</v>
      </c>
      <c r="Y68" s="14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</row>
    <row r="69" ht="16.5" customHeight="1">
      <c r="A69" s="135"/>
      <c r="B69" s="67"/>
      <c r="C69" s="67"/>
      <c r="D69" s="67"/>
      <c r="E69" s="67"/>
      <c r="F69" s="67"/>
      <c r="G69" s="68"/>
      <c r="H69" s="68"/>
      <c r="I69" s="68"/>
      <c r="J69" s="67"/>
      <c r="K69" s="67"/>
      <c r="L69" s="203"/>
      <c r="M69" s="69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202"/>
      <c r="Y69" s="14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</row>
    <row r="70" ht="16.5" customHeight="1">
      <c r="A70" s="71"/>
      <c r="B70" s="104"/>
      <c r="C70" s="73"/>
      <c r="D70" s="191" t="s">
        <v>41</v>
      </c>
      <c r="E70" s="75">
        <f t="shared" ref="E70:U70" si="10">SUM(E56:E69)</f>
        <v>2000</v>
      </c>
      <c r="F70" s="75">
        <f t="shared" si="10"/>
        <v>700</v>
      </c>
      <c r="G70" s="75">
        <f t="shared" si="10"/>
        <v>1829.05</v>
      </c>
      <c r="H70" s="75">
        <f t="shared" si="10"/>
        <v>0</v>
      </c>
      <c r="I70" s="75">
        <f t="shared" si="10"/>
        <v>9655</v>
      </c>
      <c r="J70" s="75">
        <f t="shared" si="10"/>
        <v>3300</v>
      </c>
      <c r="K70" s="75">
        <f t="shared" si="10"/>
        <v>0</v>
      </c>
      <c r="L70" s="75">
        <f t="shared" si="10"/>
        <v>7000</v>
      </c>
      <c r="M70" s="75">
        <f t="shared" si="10"/>
        <v>1250</v>
      </c>
      <c r="N70" s="75">
        <f t="shared" si="10"/>
        <v>0</v>
      </c>
      <c r="O70" s="75">
        <f t="shared" si="10"/>
        <v>0</v>
      </c>
      <c r="P70" s="75">
        <f t="shared" si="10"/>
        <v>157.5</v>
      </c>
      <c r="Q70" s="75">
        <f t="shared" si="10"/>
        <v>200</v>
      </c>
      <c r="R70" s="75">
        <f t="shared" si="10"/>
        <v>0</v>
      </c>
      <c r="S70" s="75">
        <f t="shared" si="10"/>
        <v>875</v>
      </c>
      <c r="T70" s="75">
        <f t="shared" si="10"/>
        <v>0</v>
      </c>
      <c r="U70" s="75">
        <f t="shared" si="10"/>
        <v>376.23</v>
      </c>
      <c r="V70" s="75">
        <f t="shared" ref="V70:X70" si="11">SUM(V56:V68)</f>
        <v>0</v>
      </c>
      <c r="W70" s="75">
        <f t="shared" si="11"/>
        <v>0</v>
      </c>
      <c r="X70" s="76">
        <f t="shared" si="11"/>
        <v>27342.78</v>
      </c>
      <c r="Y70" s="77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</row>
    <row r="71" ht="15.0" customHeight="1">
      <c r="A71" s="193"/>
      <c r="B71" s="95"/>
      <c r="C71" s="95"/>
      <c r="D71" s="95"/>
      <c r="E71" s="95"/>
      <c r="F71" s="95"/>
      <c r="G71" s="44"/>
      <c r="H71" s="44"/>
      <c r="I71" s="44"/>
      <c r="J71" s="95"/>
      <c r="K71" s="95"/>
      <c r="L71" s="206"/>
      <c r="M71" s="41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134"/>
      <c r="Y71" s="14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</row>
    <row r="72" ht="15.0" customHeight="1">
      <c r="A72" s="193"/>
      <c r="B72" s="95"/>
      <c r="C72" s="95"/>
      <c r="D72" s="95"/>
      <c r="E72" s="95"/>
      <c r="F72" s="95"/>
      <c r="G72" s="44"/>
      <c r="H72" s="44"/>
      <c r="I72" s="44"/>
      <c r="J72" s="95"/>
      <c r="K72" s="95"/>
      <c r="L72" s="206"/>
      <c r="M72" s="41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134"/>
      <c r="Y72" s="14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</row>
    <row r="73" ht="15.75" customHeight="1">
      <c r="A73" s="50"/>
      <c r="B73" s="86" t="s">
        <v>86</v>
      </c>
      <c r="C73" s="53"/>
      <c r="D73" s="53"/>
      <c r="E73" s="53"/>
      <c r="F73" s="53"/>
      <c r="G73" s="56"/>
      <c r="H73" s="56"/>
      <c r="I73" s="56"/>
      <c r="J73" s="201"/>
      <c r="K73" s="201"/>
      <c r="L73" s="201"/>
      <c r="M73" s="45"/>
      <c r="N73" s="45"/>
      <c r="O73" s="45"/>
      <c r="P73" s="45"/>
      <c r="Q73" s="54"/>
      <c r="R73" s="54"/>
      <c r="S73" s="56"/>
      <c r="T73" s="56"/>
      <c r="U73" s="56"/>
      <c r="V73" s="56"/>
      <c r="W73" s="56"/>
      <c r="X73" s="199"/>
      <c r="Y73" s="14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</row>
    <row r="74" ht="15.0" customHeight="1">
      <c r="A74" s="200"/>
      <c r="B74" s="53"/>
      <c r="C74" s="53"/>
      <c r="D74" s="53"/>
      <c r="E74" s="53"/>
      <c r="F74" s="53"/>
      <c r="G74" s="45"/>
      <c r="H74" s="45"/>
      <c r="I74" s="45"/>
      <c r="J74" s="53"/>
      <c r="K74" s="53"/>
      <c r="L74" s="201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199"/>
      <c r="Y74" s="14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</row>
    <row r="75" ht="15.75" customHeight="1">
      <c r="A75" s="50"/>
      <c r="B75" s="99">
        <v>1.0</v>
      </c>
      <c r="C75" s="177" t="s">
        <v>87</v>
      </c>
      <c r="D75" s="53"/>
      <c r="E75" s="54">
        <v>1000.0</v>
      </c>
      <c r="F75" s="54"/>
      <c r="G75" s="62">
        <v>582.96</v>
      </c>
      <c r="H75" s="62"/>
      <c r="I75" s="211">
        <v>1250.0</v>
      </c>
      <c r="J75" s="207">
        <v>550.0</v>
      </c>
      <c r="K75" s="201"/>
      <c r="L75" s="208">
        <v>600.0</v>
      </c>
      <c r="M75" s="45"/>
      <c r="N75" s="183"/>
      <c r="O75" s="183"/>
      <c r="P75" s="183"/>
      <c r="Q75" s="179"/>
      <c r="R75" s="179"/>
      <c r="S75" s="63">
        <v>125.0</v>
      </c>
      <c r="T75" s="56"/>
      <c r="U75" s="56"/>
      <c r="V75" s="56"/>
      <c r="W75" s="183"/>
      <c r="X75" s="202">
        <f t="shared" ref="X75:X83" si="12">SUM(E75:W75)</f>
        <v>4107.96</v>
      </c>
      <c r="Y75" s="14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</row>
    <row r="76" ht="15.75" customHeight="1">
      <c r="A76" s="200"/>
      <c r="B76" s="53"/>
      <c r="C76" s="53"/>
      <c r="D76" s="53"/>
      <c r="E76" s="54"/>
      <c r="F76" s="54"/>
      <c r="G76" s="54"/>
      <c r="H76" s="54"/>
      <c r="I76" s="107"/>
      <c r="J76" s="53"/>
      <c r="K76" s="53"/>
      <c r="L76" s="208"/>
      <c r="M76" s="45"/>
      <c r="N76" s="183"/>
      <c r="O76" s="183"/>
      <c r="P76" s="183"/>
      <c r="Q76" s="179"/>
      <c r="R76" s="179"/>
      <c r="S76" s="45"/>
      <c r="T76" s="45"/>
      <c r="U76" s="45"/>
      <c r="V76" s="45"/>
      <c r="W76" s="183"/>
      <c r="X76" s="202">
        <f t="shared" si="12"/>
        <v>0</v>
      </c>
      <c r="Y76" s="14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</row>
    <row r="77" ht="15.75" customHeight="1">
      <c r="A77" s="50"/>
      <c r="B77" s="99">
        <v>2.0</v>
      </c>
      <c r="C77" s="177" t="s">
        <v>88</v>
      </c>
      <c r="D77" s="53"/>
      <c r="E77" s="54"/>
      <c r="F77" s="54"/>
      <c r="G77" s="215">
        <v>1211.26</v>
      </c>
      <c r="H77" s="62"/>
      <c r="I77" s="211">
        <v>1700.0</v>
      </c>
      <c r="J77" s="207">
        <v>550.0</v>
      </c>
      <c r="K77" s="201"/>
      <c r="L77" s="208">
        <v>500.0</v>
      </c>
      <c r="M77" s="107"/>
      <c r="N77" s="183"/>
      <c r="O77" s="183"/>
      <c r="P77" s="184">
        <v>186.67</v>
      </c>
      <c r="Q77" s="179"/>
      <c r="R77" s="179"/>
      <c r="S77" s="63">
        <v>125.0</v>
      </c>
      <c r="T77" s="56"/>
      <c r="U77" s="56"/>
      <c r="V77" s="56"/>
      <c r="W77" s="183"/>
      <c r="X77" s="202">
        <f t="shared" si="12"/>
        <v>4272.93</v>
      </c>
      <c r="Y77" s="14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</row>
    <row r="78" ht="15.75" customHeight="1">
      <c r="A78" s="200"/>
      <c r="B78" s="53"/>
      <c r="C78" s="53"/>
      <c r="D78" s="53"/>
      <c r="E78" s="54"/>
      <c r="F78" s="54"/>
      <c r="G78" s="54"/>
      <c r="H78" s="54"/>
      <c r="I78" s="45"/>
      <c r="J78" s="53"/>
      <c r="K78" s="53"/>
      <c r="L78" s="208"/>
      <c r="M78" s="45"/>
      <c r="N78" s="183"/>
      <c r="O78" s="183"/>
      <c r="P78" s="183"/>
      <c r="Q78" s="179"/>
      <c r="R78" s="179"/>
      <c r="S78" s="56"/>
      <c r="T78" s="45"/>
      <c r="U78" s="45"/>
      <c r="V78" s="45"/>
      <c r="W78" s="183"/>
      <c r="X78" s="202">
        <f t="shared" si="12"/>
        <v>0</v>
      </c>
      <c r="Y78" s="14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</row>
    <row r="79" ht="15.75" customHeight="1">
      <c r="A79" s="50"/>
      <c r="B79" s="99">
        <v>3.0</v>
      </c>
      <c r="C79" s="177" t="s">
        <v>89</v>
      </c>
      <c r="D79" s="53"/>
      <c r="E79" s="54"/>
      <c r="F79" s="54"/>
      <c r="G79" s="62"/>
      <c r="H79" s="62"/>
      <c r="I79" s="63">
        <v>1500.0</v>
      </c>
      <c r="J79" s="201"/>
      <c r="K79" s="201"/>
      <c r="L79" s="208">
        <v>600.0</v>
      </c>
      <c r="M79" s="96">
        <v>1000.0</v>
      </c>
      <c r="N79" s="183"/>
      <c r="O79" s="183"/>
      <c r="P79" s="183"/>
      <c r="Q79" s="179"/>
      <c r="R79" s="179"/>
      <c r="S79" s="63">
        <v>125.0</v>
      </c>
      <c r="T79" s="56"/>
      <c r="U79" s="56"/>
      <c r="V79" s="56"/>
      <c r="W79" s="183"/>
      <c r="X79" s="202">
        <f t="shared" si="12"/>
        <v>3225</v>
      </c>
      <c r="Y79" s="14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70"/>
      <c r="AP79" s="170"/>
      <c r="AQ79" s="170"/>
      <c r="AR79" s="170"/>
    </row>
    <row r="80" ht="15.75" customHeight="1">
      <c r="A80" s="200"/>
      <c r="B80" s="53"/>
      <c r="C80" s="53"/>
      <c r="D80" s="53"/>
      <c r="E80" s="54"/>
      <c r="F80" s="54"/>
      <c r="G80" s="54"/>
      <c r="H80" s="54"/>
      <c r="I80" s="45"/>
      <c r="J80" s="53"/>
      <c r="K80" s="53"/>
      <c r="L80" s="208"/>
      <c r="M80" s="45"/>
      <c r="N80" s="183"/>
      <c r="O80" s="183"/>
      <c r="P80" s="183"/>
      <c r="Q80" s="179"/>
      <c r="R80" s="179"/>
      <c r="S80" s="56"/>
      <c r="T80" s="45"/>
      <c r="U80" s="45"/>
      <c r="V80" s="45"/>
      <c r="W80" s="183"/>
      <c r="X80" s="202">
        <f t="shared" si="12"/>
        <v>0</v>
      </c>
      <c r="Y80" s="14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</row>
    <row r="81" ht="15.75" customHeight="1">
      <c r="A81" s="50"/>
      <c r="B81" s="99">
        <v>4.0</v>
      </c>
      <c r="C81" s="177" t="s">
        <v>90</v>
      </c>
      <c r="D81" s="53"/>
      <c r="E81" s="54"/>
      <c r="F81" s="54"/>
      <c r="G81" s="62"/>
      <c r="H81" s="62"/>
      <c r="I81" s="63">
        <v>1420.0</v>
      </c>
      <c r="J81" s="201"/>
      <c r="K81" s="201"/>
      <c r="L81" s="208">
        <v>500.0</v>
      </c>
      <c r="M81" s="45"/>
      <c r="N81" s="183"/>
      <c r="O81" s="183"/>
      <c r="P81" s="183"/>
      <c r="Q81" s="179"/>
      <c r="R81" s="179"/>
      <c r="S81" s="63">
        <v>125.0</v>
      </c>
      <c r="T81" s="56"/>
      <c r="U81" s="56"/>
      <c r="V81" s="56"/>
      <c r="W81" s="183"/>
      <c r="X81" s="202">
        <f t="shared" si="12"/>
        <v>2045</v>
      </c>
      <c r="Y81" s="14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</row>
    <row r="82" ht="15.75" customHeight="1">
      <c r="A82" s="200"/>
      <c r="B82" s="53"/>
      <c r="C82" s="53"/>
      <c r="D82" s="53"/>
      <c r="E82" s="54"/>
      <c r="F82" s="54"/>
      <c r="G82" s="54"/>
      <c r="H82" s="54"/>
      <c r="I82" s="45"/>
      <c r="J82" s="53"/>
      <c r="K82" s="53"/>
      <c r="L82" s="208"/>
      <c r="M82" s="56"/>
      <c r="N82" s="183"/>
      <c r="O82" s="183"/>
      <c r="P82" s="183"/>
      <c r="Q82" s="179"/>
      <c r="R82" s="179"/>
      <c r="S82" s="56"/>
      <c r="T82" s="45"/>
      <c r="U82" s="45"/>
      <c r="V82" s="45"/>
      <c r="W82" s="183"/>
      <c r="X82" s="202">
        <f t="shared" si="12"/>
        <v>0</v>
      </c>
      <c r="Y82" s="14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</row>
    <row r="83" ht="15.75" customHeight="1">
      <c r="A83" s="50"/>
      <c r="B83" s="99">
        <v>5.0</v>
      </c>
      <c r="C83" s="177" t="s">
        <v>91</v>
      </c>
      <c r="D83" s="53"/>
      <c r="E83" s="54"/>
      <c r="F83" s="54">
        <v>300.0</v>
      </c>
      <c r="G83" s="62">
        <v>797.22</v>
      </c>
      <c r="H83" s="62"/>
      <c r="I83" s="63">
        <v>680.0</v>
      </c>
      <c r="J83" s="207">
        <v>550.0</v>
      </c>
      <c r="K83" s="201"/>
      <c r="L83" s="208">
        <v>400.0</v>
      </c>
      <c r="M83" s="46">
        <v>750.0</v>
      </c>
      <c r="N83" s="183"/>
      <c r="O83" s="183"/>
      <c r="P83" s="184">
        <v>300.0</v>
      </c>
      <c r="Q83" s="179"/>
      <c r="R83" s="179"/>
      <c r="S83" s="63">
        <v>125.0</v>
      </c>
      <c r="T83" s="45"/>
      <c r="U83" s="56"/>
      <c r="V83" s="56"/>
      <c r="W83" s="183"/>
      <c r="X83" s="202">
        <f t="shared" si="12"/>
        <v>3902.22</v>
      </c>
      <c r="Y83" s="14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</row>
    <row r="84" ht="16.5" customHeight="1">
      <c r="A84" s="135"/>
      <c r="B84" s="67"/>
      <c r="C84" s="67"/>
      <c r="D84" s="67"/>
      <c r="E84" s="67"/>
      <c r="F84" s="67"/>
      <c r="G84" s="68"/>
      <c r="H84" s="68"/>
      <c r="I84" s="68"/>
      <c r="J84" s="67"/>
      <c r="K84" s="67"/>
      <c r="L84" s="203"/>
      <c r="M84" s="69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202"/>
      <c r="Y84" s="14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</row>
    <row r="85" ht="16.5" customHeight="1">
      <c r="A85" s="71"/>
      <c r="B85" s="131"/>
      <c r="C85" s="131"/>
      <c r="D85" s="191" t="s">
        <v>41</v>
      </c>
      <c r="E85" s="75">
        <f t="shared" ref="E85:U85" si="13">SUM(E75:E83)</f>
        <v>1000</v>
      </c>
      <c r="F85" s="75">
        <f t="shared" si="13"/>
        <v>300</v>
      </c>
      <c r="G85" s="75">
        <f t="shared" si="13"/>
        <v>2591.44</v>
      </c>
      <c r="H85" s="75">
        <f t="shared" si="13"/>
        <v>0</v>
      </c>
      <c r="I85" s="75">
        <f t="shared" si="13"/>
        <v>6550</v>
      </c>
      <c r="J85" s="75">
        <f t="shared" si="13"/>
        <v>1650</v>
      </c>
      <c r="K85" s="75">
        <f t="shared" si="13"/>
        <v>0</v>
      </c>
      <c r="L85" s="75">
        <f t="shared" si="13"/>
        <v>2600</v>
      </c>
      <c r="M85" s="75">
        <f t="shared" si="13"/>
        <v>1750</v>
      </c>
      <c r="N85" s="75">
        <f t="shared" si="13"/>
        <v>0</v>
      </c>
      <c r="O85" s="75">
        <f t="shared" si="13"/>
        <v>0</v>
      </c>
      <c r="P85" s="75">
        <f t="shared" si="13"/>
        <v>486.67</v>
      </c>
      <c r="Q85" s="75">
        <f t="shared" si="13"/>
        <v>0</v>
      </c>
      <c r="R85" s="75">
        <f t="shared" si="13"/>
        <v>0</v>
      </c>
      <c r="S85" s="75">
        <f t="shared" si="13"/>
        <v>625</v>
      </c>
      <c r="T85" s="75">
        <f t="shared" si="13"/>
        <v>0</v>
      </c>
      <c r="U85" s="75">
        <f t="shared" si="13"/>
        <v>0</v>
      </c>
      <c r="V85" s="75"/>
      <c r="W85" s="75">
        <f t="shared" ref="W85:X85" si="14">SUM(W75:W83)</f>
        <v>0</v>
      </c>
      <c r="X85" s="76">
        <f t="shared" si="14"/>
        <v>17553.11</v>
      </c>
      <c r="Y85" s="77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</row>
    <row r="86" ht="15.0" customHeight="1">
      <c r="A86" s="193"/>
      <c r="B86" s="95"/>
      <c r="C86" s="95"/>
      <c r="D86" s="95"/>
      <c r="E86" s="95"/>
      <c r="F86" s="95"/>
      <c r="G86" s="44"/>
      <c r="H86" s="44"/>
      <c r="I86" s="44"/>
      <c r="J86" s="95"/>
      <c r="K86" s="95"/>
      <c r="L86" s="206"/>
      <c r="M86" s="41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134"/>
      <c r="Y86" s="14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</row>
    <row r="87" ht="15.0" customHeight="1">
      <c r="A87" s="193"/>
      <c r="B87" s="95"/>
      <c r="C87" s="95"/>
      <c r="D87" s="95"/>
      <c r="E87" s="95"/>
      <c r="F87" s="95"/>
      <c r="G87" s="44"/>
      <c r="H87" s="44"/>
      <c r="I87" s="44"/>
      <c r="J87" s="95"/>
      <c r="K87" s="95"/>
      <c r="L87" s="206"/>
      <c r="M87" s="41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134"/>
      <c r="Y87" s="14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</row>
    <row r="88" ht="15.75" customHeight="1">
      <c r="A88" s="50"/>
      <c r="B88" s="86" t="s">
        <v>53</v>
      </c>
      <c r="C88" s="53"/>
      <c r="D88" s="53"/>
      <c r="E88" s="53"/>
      <c r="F88" s="53"/>
      <c r="G88" s="56"/>
      <c r="H88" s="56"/>
      <c r="I88" s="56"/>
      <c r="J88" s="201"/>
      <c r="K88" s="201"/>
      <c r="L88" s="201"/>
      <c r="M88" s="45"/>
      <c r="N88" s="45"/>
      <c r="O88" s="45"/>
      <c r="P88" s="45"/>
      <c r="Q88" s="54"/>
      <c r="R88" s="54"/>
      <c r="S88" s="56"/>
      <c r="T88" s="56"/>
      <c r="U88" s="56"/>
      <c r="V88" s="56"/>
      <c r="W88" s="56"/>
      <c r="X88" s="199"/>
      <c r="Y88" s="14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</row>
    <row r="89" ht="15.0" customHeight="1">
      <c r="A89" s="200"/>
      <c r="B89" s="53"/>
      <c r="C89" s="53"/>
      <c r="D89" s="53"/>
      <c r="E89" s="53"/>
      <c r="F89" s="53"/>
      <c r="G89" s="45"/>
      <c r="H89" s="45"/>
      <c r="I89" s="45"/>
      <c r="J89" s="53"/>
      <c r="K89" s="53"/>
      <c r="L89" s="201"/>
      <c r="M89" s="45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199"/>
      <c r="Y89" s="14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</row>
    <row r="90" ht="15.75" customHeight="1">
      <c r="A90" s="50"/>
      <c r="B90" s="99">
        <v>1.0</v>
      </c>
      <c r="C90" s="177" t="s">
        <v>92</v>
      </c>
      <c r="D90" s="53"/>
      <c r="E90" s="190"/>
      <c r="F90" s="216"/>
      <c r="G90" s="217"/>
      <c r="H90" s="217"/>
      <c r="I90" s="218">
        <v>2355.0</v>
      </c>
      <c r="J90" s="218">
        <v>550.0</v>
      </c>
      <c r="K90" s="218">
        <v>550.0</v>
      </c>
      <c r="L90" s="219">
        <v>1300.0</v>
      </c>
      <c r="M90" s="44"/>
      <c r="N90" s="183"/>
      <c r="O90" s="183"/>
      <c r="P90" s="184">
        <v>307.5</v>
      </c>
      <c r="Q90" s="179"/>
      <c r="R90" s="179"/>
      <c r="S90" s="63">
        <v>125.0</v>
      </c>
      <c r="T90" s="56"/>
      <c r="U90" s="56"/>
      <c r="V90" s="56"/>
      <c r="W90" s="183"/>
      <c r="X90" s="202">
        <f t="shared" ref="X90:X102" si="15">SUM(E90:W90)</f>
        <v>5187.5</v>
      </c>
      <c r="Y90" s="14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</row>
    <row r="91" ht="15.75" customHeight="1">
      <c r="A91" s="200"/>
      <c r="B91" s="53"/>
      <c r="C91" s="53"/>
      <c r="D91" s="53"/>
      <c r="E91" s="220"/>
      <c r="F91" s="54"/>
      <c r="G91" s="217"/>
      <c r="H91" s="217"/>
      <c r="I91" s="53"/>
      <c r="J91" s="53"/>
      <c r="K91" s="53"/>
      <c r="L91" s="214"/>
      <c r="M91" s="45"/>
      <c r="N91" s="183"/>
      <c r="O91" s="183"/>
      <c r="P91" s="183"/>
      <c r="Q91" s="179"/>
      <c r="R91" s="179"/>
      <c r="S91" s="45"/>
      <c r="T91" s="45"/>
      <c r="U91" s="45"/>
      <c r="V91" s="45"/>
      <c r="W91" s="183"/>
      <c r="X91" s="202">
        <f t="shared" si="15"/>
        <v>0</v>
      </c>
      <c r="Y91" s="14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</row>
    <row r="92" ht="15.75" customHeight="1">
      <c r="A92" s="50"/>
      <c r="B92" s="99">
        <v>2.0</v>
      </c>
      <c r="C92" s="177" t="s">
        <v>93</v>
      </c>
      <c r="D92" s="53"/>
      <c r="E92" s="178">
        <v>1384.35</v>
      </c>
      <c r="F92" s="216"/>
      <c r="G92" s="217"/>
      <c r="H92" s="217"/>
      <c r="I92" s="212">
        <v>2000.0</v>
      </c>
      <c r="J92" s="207">
        <v>550.0</v>
      </c>
      <c r="K92" s="201"/>
      <c r="L92" s="208">
        <v>1000.0</v>
      </c>
      <c r="M92" s="45"/>
      <c r="N92" s="183"/>
      <c r="O92" s="183"/>
      <c r="P92" s="183"/>
      <c r="Q92" s="179"/>
      <c r="R92" s="179"/>
      <c r="S92" s="63">
        <v>125.0</v>
      </c>
      <c r="T92" s="56"/>
      <c r="U92" s="56"/>
      <c r="V92" s="56"/>
      <c r="W92" s="183"/>
      <c r="X92" s="202">
        <f t="shared" si="15"/>
        <v>5059.35</v>
      </c>
      <c r="Y92" s="14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</row>
    <row r="93" ht="15.75" customHeight="1">
      <c r="A93" s="200"/>
      <c r="B93" s="53"/>
      <c r="C93" s="53"/>
      <c r="D93" s="53"/>
      <c r="E93" s="54"/>
      <c r="F93" s="54"/>
      <c r="G93" s="54"/>
      <c r="H93" s="54"/>
      <c r="I93" s="45"/>
      <c r="J93" s="53"/>
      <c r="K93" s="53"/>
      <c r="L93" s="208"/>
      <c r="M93" s="45"/>
      <c r="N93" s="183"/>
      <c r="O93" s="183"/>
      <c r="P93" s="183"/>
      <c r="Q93" s="179"/>
      <c r="R93" s="179"/>
      <c r="S93" s="56"/>
      <c r="T93" s="45"/>
      <c r="U93" s="45"/>
      <c r="V93" s="45"/>
      <c r="W93" s="183"/>
      <c r="X93" s="202">
        <f t="shared" si="15"/>
        <v>0</v>
      </c>
      <c r="Y93" s="14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</row>
    <row r="94" ht="15.75" customHeight="1">
      <c r="A94" s="50"/>
      <c r="B94" s="99">
        <v>3.0</v>
      </c>
      <c r="C94" s="177" t="s">
        <v>94</v>
      </c>
      <c r="D94" s="53"/>
      <c r="E94" s="54">
        <v>996.73</v>
      </c>
      <c r="F94" s="54"/>
      <c r="G94" s="62"/>
      <c r="H94" s="62"/>
      <c r="I94" s="57"/>
      <c r="J94" s="201"/>
      <c r="K94" s="201"/>
      <c r="L94" s="208">
        <v>1000.0</v>
      </c>
      <c r="M94" s="45"/>
      <c r="N94" s="183"/>
      <c r="O94" s="183"/>
      <c r="P94" s="183"/>
      <c r="Q94" s="179"/>
      <c r="R94" s="179"/>
      <c r="S94" s="63">
        <v>125.0</v>
      </c>
      <c r="T94" s="56"/>
      <c r="U94" s="56"/>
      <c r="V94" s="56"/>
      <c r="W94" s="183"/>
      <c r="X94" s="202">
        <f t="shared" si="15"/>
        <v>2121.73</v>
      </c>
      <c r="Y94" s="14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</row>
    <row r="95" ht="15.75" customHeight="1">
      <c r="A95" s="200"/>
      <c r="B95" s="53"/>
      <c r="C95" s="53"/>
      <c r="D95" s="53"/>
      <c r="E95" s="54"/>
      <c r="F95" s="54"/>
      <c r="G95" s="54"/>
      <c r="H95" s="54"/>
      <c r="I95" s="107"/>
      <c r="J95" s="53"/>
      <c r="K95" s="53"/>
      <c r="L95" s="208"/>
      <c r="M95" s="45"/>
      <c r="N95" s="183"/>
      <c r="O95" s="183"/>
      <c r="P95" s="183"/>
      <c r="Q95" s="179"/>
      <c r="R95" s="179"/>
      <c r="S95" s="45"/>
      <c r="T95" s="45"/>
      <c r="U95" s="45"/>
      <c r="V95" s="45"/>
      <c r="W95" s="183"/>
      <c r="X95" s="202">
        <f t="shared" si="15"/>
        <v>0</v>
      </c>
      <c r="Y95" s="14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  <c r="AM95" s="170"/>
      <c r="AN95" s="170"/>
      <c r="AO95" s="170"/>
      <c r="AP95" s="170"/>
      <c r="AQ95" s="170"/>
      <c r="AR95" s="170"/>
    </row>
    <row r="96" ht="15.75" customHeight="1">
      <c r="A96" s="50"/>
      <c r="B96" s="99">
        <v>4.0</v>
      </c>
      <c r="C96" s="177" t="s">
        <v>95</v>
      </c>
      <c r="D96" s="53"/>
      <c r="E96" s="54"/>
      <c r="F96" s="54"/>
      <c r="G96" s="62"/>
      <c r="H96" s="62"/>
      <c r="I96" s="211">
        <v>750.0</v>
      </c>
      <c r="J96" s="207">
        <v>550.0</v>
      </c>
      <c r="K96" s="207">
        <v>550.0</v>
      </c>
      <c r="L96" s="208">
        <v>800.0</v>
      </c>
      <c r="M96" s="96">
        <v>700.0</v>
      </c>
      <c r="N96" s="183"/>
      <c r="O96" s="183"/>
      <c r="P96" s="183"/>
      <c r="Q96" s="179"/>
      <c r="R96" s="179"/>
      <c r="S96" s="63">
        <v>125.0</v>
      </c>
      <c r="T96" s="56"/>
      <c r="U96" s="56"/>
      <c r="V96" s="56"/>
      <c r="W96" s="183"/>
      <c r="X96" s="202">
        <f t="shared" si="15"/>
        <v>3475</v>
      </c>
      <c r="Y96" s="14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0"/>
      <c r="AM96" s="170"/>
      <c r="AN96" s="170"/>
      <c r="AO96" s="170"/>
      <c r="AP96" s="170"/>
      <c r="AQ96" s="170"/>
      <c r="AR96" s="170"/>
    </row>
    <row r="97" ht="15.75" customHeight="1">
      <c r="A97" s="200"/>
      <c r="B97" s="53"/>
      <c r="C97" s="53"/>
      <c r="D97" s="53"/>
      <c r="E97" s="54"/>
      <c r="F97" s="54"/>
      <c r="G97" s="54"/>
      <c r="H97" s="54"/>
      <c r="I97" s="45"/>
      <c r="J97" s="53"/>
      <c r="K97" s="53"/>
      <c r="L97" s="208"/>
      <c r="M97" s="45"/>
      <c r="N97" s="183"/>
      <c r="O97" s="183"/>
      <c r="P97" s="183"/>
      <c r="Q97" s="179"/>
      <c r="R97" s="179"/>
      <c r="S97" s="56"/>
      <c r="T97" s="45"/>
      <c r="U97" s="45"/>
      <c r="V97" s="45"/>
      <c r="W97" s="183"/>
      <c r="X97" s="202">
        <f t="shared" si="15"/>
        <v>0</v>
      </c>
      <c r="Y97" s="14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</row>
    <row r="98" ht="15.75" customHeight="1">
      <c r="A98" s="50"/>
      <c r="B98" s="99">
        <v>5.0</v>
      </c>
      <c r="C98" s="177" t="s">
        <v>96</v>
      </c>
      <c r="D98" s="53"/>
      <c r="E98" s="178"/>
      <c r="F98" s="54"/>
      <c r="G98" s="62"/>
      <c r="H98" s="62"/>
      <c r="I98" s="207">
        <v>2986.0</v>
      </c>
      <c r="J98" s="201"/>
      <c r="K98" s="201"/>
      <c r="L98" s="208">
        <v>1600.0</v>
      </c>
      <c r="M98" s="45"/>
      <c r="N98" s="183"/>
      <c r="O98" s="183"/>
      <c r="P98" s="183"/>
      <c r="Q98" s="179"/>
      <c r="R98" s="179"/>
      <c r="S98" s="63">
        <v>125.0</v>
      </c>
      <c r="T98" s="56"/>
      <c r="U98" s="56"/>
      <c r="V98" s="56"/>
      <c r="W98" s="183"/>
      <c r="X98" s="202">
        <f t="shared" si="15"/>
        <v>4711</v>
      </c>
      <c r="Y98" s="14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</row>
    <row r="99" ht="15.75" customHeight="1">
      <c r="A99" s="200"/>
      <c r="B99" s="53"/>
      <c r="C99" s="53"/>
      <c r="D99" s="53"/>
      <c r="E99" s="54"/>
      <c r="F99" s="54"/>
      <c r="G99" s="54"/>
      <c r="H99" s="54"/>
      <c r="I99" s="45"/>
      <c r="J99" s="53"/>
      <c r="K99" s="53"/>
      <c r="L99" s="208"/>
      <c r="M99" s="56"/>
      <c r="N99" s="183"/>
      <c r="O99" s="183"/>
      <c r="P99" s="183"/>
      <c r="Q99" s="179"/>
      <c r="R99" s="179"/>
      <c r="S99" s="56"/>
      <c r="T99" s="45"/>
      <c r="U99" s="45"/>
      <c r="V99" s="45"/>
      <c r="W99" s="45"/>
      <c r="X99" s="202">
        <f t="shared" si="15"/>
        <v>0</v>
      </c>
      <c r="Y99" s="14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170"/>
      <c r="AN99" s="170"/>
      <c r="AO99" s="170"/>
      <c r="AP99" s="170"/>
      <c r="AQ99" s="170"/>
      <c r="AR99" s="170"/>
    </row>
    <row r="100" ht="15.75" customHeight="1">
      <c r="A100" s="50"/>
      <c r="B100" s="99">
        <v>6.0</v>
      </c>
      <c r="C100" s="177" t="s">
        <v>97</v>
      </c>
      <c r="D100" s="53"/>
      <c r="E100" s="54"/>
      <c r="F100" s="54"/>
      <c r="G100" s="62"/>
      <c r="H100" s="62"/>
      <c r="I100" s="56"/>
      <c r="J100" s="201"/>
      <c r="K100" s="201"/>
      <c r="L100" s="208">
        <v>1500.0</v>
      </c>
      <c r="M100" s="45"/>
      <c r="N100" s="183"/>
      <c r="O100" s="183"/>
      <c r="P100" s="183"/>
      <c r="Q100" s="179"/>
      <c r="R100" s="179"/>
      <c r="S100" s="63">
        <v>125.0</v>
      </c>
      <c r="T100" s="56"/>
      <c r="U100" s="56"/>
      <c r="V100" s="56"/>
      <c r="W100" s="183"/>
      <c r="X100" s="202">
        <f t="shared" si="15"/>
        <v>1625</v>
      </c>
      <c r="Y100" s="14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170"/>
      <c r="AN100" s="170"/>
      <c r="AO100" s="170"/>
      <c r="AP100" s="170"/>
      <c r="AQ100" s="170"/>
      <c r="AR100" s="170"/>
    </row>
    <row r="101" ht="15.75" customHeight="1">
      <c r="A101" s="200"/>
      <c r="B101" s="53"/>
      <c r="C101" s="53"/>
      <c r="D101" s="53"/>
      <c r="E101" s="54"/>
      <c r="F101" s="54"/>
      <c r="G101" s="54"/>
      <c r="H101" s="54"/>
      <c r="I101" s="45"/>
      <c r="J101" s="53"/>
      <c r="K101" s="53"/>
      <c r="L101" s="201"/>
      <c r="M101" s="56"/>
      <c r="N101" s="183"/>
      <c r="O101" s="183"/>
      <c r="P101" s="183"/>
      <c r="Q101" s="179"/>
      <c r="R101" s="179"/>
      <c r="S101" s="56"/>
      <c r="T101" s="45"/>
      <c r="U101" s="45"/>
      <c r="V101" s="45"/>
      <c r="W101" s="45"/>
      <c r="X101" s="202">
        <f t="shared" si="15"/>
        <v>0</v>
      </c>
      <c r="Y101" s="14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</row>
    <row r="102" ht="15.75" customHeight="1">
      <c r="A102" s="50"/>
      <c r="B102" s="99">
        <v>7.0</v>
      </c>
      <c r="C102" s="177" t="s">
        <v>98</v>
      </c>
      <c r="D102" s="53"/>
      <c r="E102" s="54"/>
      <c r="F102" s="54"/>
      <c r="G102" s="62"/>
      <c r="H102" s="62"/>
      <c r="I102" s="56"/>
      <c r="J102" s="201"/>
      <c r="K102" s="201"/>
      <c r="L102" s="201"/>
      <c r="M102" s="45"/>
      <c r="N102" s="183"/>
      <c r="O102" s="183"/>
      <c r="P102" s="183"/>
      <c r="Q102" s="179"/>
      <c r="R102" s="179"/>
      <c r="S102" s="56"/>
      <c r="T102" s="56"/>
      <c r="U102" s="56"/>
      <c r="V102" s="56"/>
      <c r="W102" s="183"/>
      <c r="X102" s="202">
        <f t="shared" si="15"/>
        <v>0</v>
      </c>
      <c r="Y102" s="14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</row>
    <row r="103" ht="16.5" customHeight="1">
      <c r="A103" s="135"/>
      <c r="B103" s="67"/>
      <c r="C103" s="67"/>
      <c r="D103" s="67"/>
      <c r="E103" s="67"/>
      <c r="F103" s="67"/>
      <c r="G103" s="68"/>
      <c r="H103" s="68"/>
      <c r="I103" s="68"/>
      <c r="J103" s="67"/>
      <c r="K103" s="67"/>
      <c r="L103" s="203"/>
      <c r="M103" s="69"/>
      <c r="N103" s="68"/>
      <c r="O103" s="68"/>
      <c r="P103" s="68"/>
      <c r="Q103" s="68"/>
      <c r="R103" s="68"/>
      <c r="S103" s="68"/>
      <c r="T103" s="68"/>
      <c r="U103" s="68"/>
      <c r="V103" s="68"/>
      <c r="W103" s="68" t="s">
        <v>99</v>
      </c>
      <c r="X103" s="202"/>
      <c r="Y103" s="14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  <c r="AM103" s="170"/>
      <c r="AN103" s="170"/>
      <c r="AO103" s="170"/>
      <c r="AP103" s="170"/>
      <c r="AQ103" s="170"/>
      <c r="AR103" s="170"/>
    </row>
    <row r="104" ht="16.5" customHeight="1">
      <c r="A104" s="71"/>
      <c r="B104" s="131"/>
      <c r="C104" s="131"/>
      <c r="D104" s="191" t="s">
        <v>41</v>
      </c>
      <c r="E104" s="75">
        <f t="shared" ref="E104:X104" si="16">SUM(E90:E102)</f>
        <v>2381.08</v>
      </c>
      <c r="F104" s="75">
        <f t="shared" si="16"/>
        <v>0</v>
      </c>
      <c r="G104" s="75">
        <f t="shared" si="16"/>
        <v>0</v>
      </c>
      <c r="H104" s="75">
        <f t="shared" si="16"/>
        <v>0</v>
      </c>
      <c r="I104" s="75">
        <f t="shared" si="16"/>
        <v>8091</v>
      </c>
      <c r="J104" s="75">
        <f t="shared" si="16"/>
        <v>1650</v>
      </c>
      <c r="K104" s="75">
        <f t="shared" si="16"/>
        <v>1100</v>
      </c>
      <c r="L104" s="75">
        <f t="shared" si="16"/>
        <v>7200</v>
      </c>
      <c r="M104" s="75">
        <f t="shared" si="16"/>
        <v>700</v>
      </c>
      <c r="N104" s="75">
        <f t="shared" si="16"/>
        <v>0</v>
      </c>
      <c r="O104" s="75">
        <f t="shared" si="16"/>
        <v>0</v>
      </c>
      <c r="P104" s="75">
        <f t="shared" si="16"/>
        <v>307.5</v>
      </c>
      <c r="Q104" s="75">
        <f t="shared" si="16"/>
        <v>0</v>
      </c>
      <c r="R104" s="75">
        <f t="shared" si="16"/>
        <v>0</v>
      </c>
      <c r="S104" s="75">
        <f t="shared" si="16"/>
        <v>750</v>
      </c>
      <c r="T104" s="75">
        <f t="shared" si="16"/>
        <v>0</v>
      </c>
      <c r="U104" s="75">
        <f t="shared" si="16"/>
        <v>0</v>
      </c>
      <c r="V104" s="75">
        <f t="shared" si="16"/>
        <v>0</v>
      </c>
      <c r="W104" s="75">
        <f t="shared" si="16"/>
        <v>0</v>
      </c>
      <c r="X104" s="75">
        <f t="shared" si="16"/>
        <v>22179.58</v>
      </c>
      <c r="Y104" s="77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</row>
    <row r="105" ht="15.0" customHeight="1">
      <c r="A105" s="193"/>
      <c r="B105" s="95"/>
      <c r="C105" s="95"/>
      <c r="D105" s="95"/>
      <c r="E105" s="95"/>
      <c r="F105" s="95"/>
      <c r="G105" s="44"/>
      <c r="H105" s="44"/>
      <c r="I105" s="44"/>
      <c r="J105" s="95"/>
      <c r="K105" s="95"/>
      <c r="L105" s="206"/>
      <c r="M105" s="41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134"/>
      <c r="Y105" s="14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</row>
    <row r="106" ht="15.0" customHeight="1">
      <c r="A106" s="193"/>
      <c r="B106" s="95"/>
      <c r="C106" s="95"/>
      <c r="D106" s="95"/>
      <c r="E106" s="95"/>
      <c r="F106" s="95"/>
      <c r="G106" s="44"/>
      <c r="H106" s="44"/>
      <c r="I106" s="44"/>
      <c r="J106" s="95"/>
      <c r="K106" s="95"/>
      <c r="L106" s="206"/>
      <c r="M106" s="41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134"/>
      <c r="Y106" s="14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</row>
    <row r="107" ht="15.75" customHeight="1">
      <c r="A107" s="50"/>
      <c r="B107" s="86" t="s">
        <v>49</v>
      </c>
      <c r="C107" s="53"/>
      <c r="D107" s="53"/>
      <c r="E107" s="53"/>
      <c r="F107" s="53"/>
      <c r="G107" s="56"/>
      <c r="H107" s="56"/>
      <c r="I107" s="56"/>
      <c r="J107" s="201"/>
      <c r="K107" s="201"/>
      <c r="L107" s="201"/>
      <c r="M107" s="45"/>
      <c r="N107" s="45"/>
      <c r="O107" s="45"/>
      <c r="P107" s="45"/>
      <c r="Q107" s="56"/>
      <c r="R107" s="56"/>
      <c r="S107" s="56"/>
      <c r="T107" s="56"/>
      <c r="U107" s="56"/>
      <c r="V107" s="56"/>
      <c r="W107" s="56"/>
      <c r="X107" s="199"/>
      <c r="Y107" s="14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</row>
    <row r="108" ht="15.0" customHeight="1">
      <c r="A108" s="200"/>
      <c r="B108" s="53"/>
      <c r="C108" s="53"/>
      <c r="D108" s="53"/>
      <c r="E108" s="53"/>
      <c r="F108" s="53"/>
      <c r="G108" s="45"/>
      <c r="H108" s="45"/>
      <c r="I108" s="54"/>
      <c r="J108" s="61"/>
      <c r="K108" s="61"/>
      <c r="L108" s="216"/>
      <c r="M108" s="62"/>
      <c r="N108" s="45"/>
      <c r="O108" s="45"/>
      <c r="P108" s="45"/>
      <c r="Q108" s="45"/>
      <c r="R108" s="45"/>
      <c r="S108" s="45"/>
      <c r="T108" s="45"/>
      <c r="U108" s="45"/>
      <c r="V108" s="45"/>
      <c r="W108" s="54"/>
      <c r="X108" s="199"/>
      <c r="Y108" s="14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</row>
    <row r="109" ht="15.75" customHeight="1">
      <c r="A109" s="50"/>
      <c r="B109" s="99">
        <v>1.0</v>
      </c>
      <c r="C109" s="177" t="s">
        <v>100</v>
      </c>
      <c r="D109" s="53"/>
      <c r="E109" s="54"/>
      <c r="F109" s="221"/>
      <c r="G109" s="215">
        <v>870.56</v>
      </c>
      <c r="H109" s="62"/>
      <c r="I109" s="63">
        <v>1500.0</v>
      </c>
      <c r="J109" s="207">
        <v>550.0</v>
      </c>
      <c r="K109" s="201"/>
      <c r="L109" s="201">
        <v>800.0</v>
      </c>
      <c r="M109" s="63">
        <v>1500.0</v>
      </c>
      <c r="N109" s="183"/>
      <c r="O109" s="183"/>
      <c r="P109" s="184">
        <v>13.5</v>
      </c>
      <c r="Q109" s="179"/>
      <c r="R109" s="179"/>
      <c r="S109" s="63">
        <v>125.0</v>
      </c>
      <c r="T109" s="56"/>
      <c r="U109" s="56"/>
      <c r="V109" s="56"/>
      <c r="W109" s="56"/>
      <c r="X109" s="202">
        <f t="shared" ref="X109:X111" si="17">SUM(E109:W109)</f>
        <v>5359.06</v>
      </c>
      <c r="Y109" s="14"/>
      <c r="Z109" s="222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</row>
    <row r="110" ht="15.75" customHeight="1">
      <c r="A110" s="200"/>
      <c r="B110" s="53"/>
      <c r="C110" s="53"/>
      <c r="D110" s="53"/>
      <c r="E110" s="54"/>
      <c r="F110" s="61"/>
      <c r="G110" s="54"/>
      <c r="H110" s="54"/>
      <c r="I110" s="45"/>
      <c r="J110" s="53"/>
      <c r="K110" s="53"/>
      <c r="L110" s="201"/>
      <c r="M110" s="45"/>
      <c r="N110" s="183"/>
      <c r="O110" s="183"/>
      <c r="P110" s="183"/>
      <c r="Q110" s="179"/>
      <c r="R110" s="179"/>
      <c r="S110" s="45"/>
      <c r="T110" s="45"/>
      <c r="U110" s="45"/>
      <c r="V110" s="45"/>
      <c r="W110" s="45"/>
      <c r="X110" s="202">
        <f t="shared" si="17"/>
        <v>0</v>
      </c>
      <c r="Y110" s="14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</row>
    <row r="111" ht="15.75" customHeight="1">
      <c r="A111" s="50"/>
      <c r="B111" s="99">
        <v>2.0</v>
      </c>
      <c r="C111" s="177" t="s">
        <v>101</v>
      </c>
      <c r="D111" s="53"/>
      <c r="E111" s="54"/>
      <c r="F111" s="54"/>
      <c r="G111" s="62"/>
      <c r="H111" s="62"/>
      <c r="I111" s="63">
        <v>1750.0</v>
      </c>
      <c r="J111" s="207">
        <v>550.0</v>
      </c>
      <c r="K111" s="201"/>
      <c r="L111" s="208">
        <v>600.0</v>
      </c>
      <c r="M111" s="45"/>
      <c r="N111" s="183"/>
      <c r="O111" s="183"/>
      <c r="P111" s="183"/>
      <c r="Q111" s="179"/>
      <c r="R111" s="179"/>
      <c r="S111" s="211">
        <v>125.0</v>
      </c>
      <c r="T111" s="56"/>
      <c r="U111" s="56"/>
      <c r="V111" s="56"/>
      <c r="W111" s="56"/>
      <c r="X111" s="202">
        <f t="shared" si="17"/>
        <v>3025</v>
      </c>
      <c r="Y111" s="14"/>
      <c r="Z111" s="222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  <c r="AM111" s="170"/>
      <c r="AN111" s="170"/>
      <c r="AO111" s="170"/>
      <c r="AP111" s="170"/>
      <c r="AQ111" s="170"/>
      <c r="AR111" s="170"/>
    </row>
    <row r="112" ht="16.5" customHeight="1">
      <c r="A112" s="135"/>
      <c r="B112" s="67"/>
      <c r="C112" s="67"/>
      <c r="D112" s="67"/>
      <c r="E112" s="67"/>
      <c r="F112" s="67"/>
      <c r="G112" s="68"/>
      <c r="H112" s="68"/>
      <c r="I112" s="102"/>
      <c r="J112" s="223"/>
      <c r="K112" s="223"/>
      <c r="L112" s="224"/>
      <c r="M112" s="103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202"/>
      <c r="Y112" s="14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</row>
    <row r="113" ht="16.5" customHeight="1">
      <c r="A113" s="71"/>
      <c r="B113" s="131"/>
      <c r="C113" s="131"/>
      <c r="D113" s="74" t="s">
        <v>41</v>
      </c>
      <c r="E113" s="75">
        <f t="shared" ref="E113:X113" si="18">SUM(E109:E111)</f>
        <v>0</v>
      </c>
      <c r="F113" s="75">
        <f t="shared" si="18"/>
        <v>0</v>
      </c>
      <c r="G113" s="75">
        <f t="shared" si="18"/>
        <v>870.56</v>
      </c>
      <c r="H113" s="75">
        <f t="shared" si="18"/>
        <v>0</v>
      </c>
      <c r="I113" s="75">
        <f t="shared" si="18"/>
        <v>3250</v>
      </c>
      <c r="J113" s="75">
        <f t="shared" si="18"/>
        <v>1100</v>
      </c>
      <c r="K113" s="75">
        <f t="shared" si="18"/>
        <v>0</v>
      </c>
      <c r="L113" s="75">
        <f t="shared" si="18"/>
        <v>1400</v>
      </c>
      <c r="M113" s="75">
        <f t="shared" si="18"/>
        <v>1500</v>
      </c>
      <c r="N113" s="75">
        <f t="shared" si="18"/>
        <v>0</v>
      </c>
      <c r="O113" s="75">
        <f t="shared" si="18"/>
        <v>0</v>
      </c>
      <c r="P113" s="75">
        <f t="shared" si="18"/>
        <v>13.5</v>
      </c>
      <c r="Q113" s="75">
        <f t="shared" si="18"/>
        <v>0</v>
      </c>
      <c r="R113" s="75">
        <f t="shared" si="18"/>
        <v>0</v>
      </c>
      <c r="S113" s="75">
        <f t="shared" si="18"/>
        <v>250</v>
      </c>
      <c r="T113" s="75">
        <f t="shared" si="18"/>
        <v>0</v>
      </c>
      <c r="U113" s="75">
        <f t="shared" si="18"/>
        <v>0</v>
      </c>
      <c r="V113" s="75">
        <f t="shared" si="18"/>
        <v>0</v>
      </c>
      <c r="W113" s="75">
        <f t="shared" si="18"/>
        <v>0</v>
      </c>
      <c r="X113" s="76">
        <f t="shared" si="18"/>
        <v>8384.06</v>
      </c>
      <c r="Y113" s="77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</row>
    <row r="114" ht="15.75" customHeight="1">
      <c r="A114" s="225"/>
      <c r="B114" s="117"/>
      <c r="C114" s="226"/>
      <c r="D114" s="227"/>
      <c r="E114" s="228"/>
      <c r="F114" s="228"/>
      <c r="G114" s="228"/>
      <c r="H114" s="228"/>
      <c r="I114" s="228"/>
      <c r="J114" s="228"/>
      <c r="K114" s="228"/>
      <c r="L114" s="228"/>
      <c r="M114" s="228"/>
      <c r="N114" s="228"/>
      <c r="O114" s="228"/>
      <c r="P114" s="228"/>
      <c r="Q114" s="228"/>
      <c r="R114" s="228"/>
      <c r="S114" s="228"/>
      <c r="T114" s="228"/>
      <c r="U114" s="228"/>
      <c r="V114" s="228"/>
      <c r="W114" s="228"/>
      <c r="X114" s="229"/>
      <c r="Y114" s="14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</row>
    <row r="115" ht="15.75" customHeight="1">
      <c r="A115" s="116"/>
      <c r="B115" s="117"/>
      <c r="C115" s="117"/>
      <c r="D115" s="117"/>
      <c r="E115" s="117"/>
      <c r="F115" s="117"/>
      <c r="G115" s="118"/>
      <c r="H115" s="118"/>
      <c r="I115" s="118"/>
      <c r="J115" s="117"/>
      <c r="K115" s="117"/>
      <c r="L115" s="230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231"/>
      <c r="Y115" s="14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0"/>
      <c r="AJ115" s="170"/>
      <c r="AK115" s="170"/>
      <c r="AL115" s="170"/>
      <c r="AM115" s="170"/>
      <c r="AN115" s="170"/>
      <c r="AO115" s="170"/>
      <c r="AP115" s="170"/>
      <c r="AQ115" s="170"/>
      <c r="AR115" s="170"/>
    </row>
    <row r="116" ht="16.5" customHeight="1">
      <c r="A116" s="232"/>
      <c r="B116" s="233"/>
      <c r="C116" s="234"/>
      <c r="D116" s="92" t="s">
        <v>102</v>
      </c>
      <c r="E116" s="93">
        <f t="shared" ref="E116:X116" si="19">+E28+E51+E70+E85+E104+E113</f>
        <v>7596.03</v>
      </c>
      <c r="F116" s="93">
        <f t="shared" si="19"/>
        <v>1000</v>
      </c>
      <c r="G116" s="93">
        <f t="shared" si="19"/>
        <v>10664.86</v>
      </c>
      <c r="H116" s="93">
        <f t="shared" si="19"/>
        <v>0</v>
      </c>
      <c r="I116" s="93">
        <f t="shared" si="19"/>
        <v>38966</v>
      </c>
      <c r="J116" s="93">
        <f t="shared" si="19"/>
        <v>11950</v>
      </c>
      <c r="K116" s="93">
        <f t="shared" si="19"/>
        <v>1100</v>
      </c>
      <c r="L116" s="93">
        <f t="shared" si="19"/>
        <v>25300</v>
      </c>
      <c r="M116" s="93">
        <f t="shared" si="19"/>
        <v>6100</v>
      </c>
      <c r="N116" s="93">
        <f t="shared" si="19"/>
        <v>0</v>
      </c>
      <c r="O116" s="93">
        <f t="shared" si="19"/>
        <v>0</v>
      </c>
      <c r="P116" s="93">
        <f t="shared" si="19"/>
        <v>977</v>
      </c>
      <c r="Q116" s="93">
        <f t="shared" si="19"/>
        <v>200</v>
      </c>
      <c r="R116" s="93">
        <f t="shared" si="19"/>
        <v>363.59</v>
      </c>
      <c r="S116" s="93">
        <f t="shared" si="19"/>
        <v>3625</v>
      </c>
      <c r="T116" s="93">
        <f t="shared" si="19"/>
        <v>125</v>
      </c>
      <c r="U116" s="93">
        <f t="shared" si="19"/>
        <v>376.23</v>
      </c>
      <c r="V116" s="93">
        <f t="shared" si="19"/>
        <v>0</v>
      </c>
      <c r="W116" s="93">
        <f t="shared" si="19"/>
        <v>0</v>
      </c>
      <c r="X116" s="94">
        <f t="shared" si="19"/>
        <v>108343.71</v>
      </c>
      <c r="Y116" s="14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</row>
    <row r="117" ht="12.75" customHeight="1">
      <c r="A117" s="235"/>
      <c r="B117" s="236"/>
      <c r="C117" s="237"/>
      <c r="D117" s="238"/>
      <c r="E117" s="238"/>
      <c r="F117" s="238"/>
      <c r="G117" s="239"/>
      <c r="H117" s="239"/>
      <c r="I117" s="239"/>
      <c r="J117" s="240"/>
      <c r="K117" s="240"/>
      <c r="L117" s="240"/>
      <c r="M117" s="241"/>
      <c r="N117" s="241"/>
      <c r="O117" s="241"/>
      <c r="P117" s="241"/>
      <c r="Q117" s="239"/>
      <c r="R117" s="239"/>
      <c r="S117" s="239"/>
      <c r="T117" s="239"/>
      <c r="U117" s="239"/>
      <c r="V117" s="239"/>
      <c r="W117" s="239"/>
      <c r="X117" s="241"/>
      <c r="Y117" s="238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</row>
    <row r="118" ht="12.75" customHeight="1">
      <c r="A118" s="238"/>
      <c r="B118" s="238"/>
      <c r="C118" s="238"/>
      <c r="D118" s="238"/>
      <c r="E118" s="238"/>
      <c r="F118" s="238"/>
      <c r="G118" s="241"/>
      <c r="H118" s="241"/>
      <c r="I118" s="241"/>
      <c r="J118" s="238"/>
      <c r="K118" s="238"/>
      <c r="L118" s="240"/>
      <c r="M118" s="239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38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</row>
    <row r="119" ht="12.75" customHeight="1">
      <c r="A119" s="235"/>
      <c r="B119" s="236"/>
      <c r="C119" s="237"/>
      <c r="D119" s="238"/>
      <c r="E119" s="238"/>
      <c r="F119" s="238"/>
      <c r="G119" s="239"/>
      <c r="H119" s="239"/>
      <c r="I119" s="239"/>
      <c r="J119" s="240"/>
      <c r="K119" s="240"/>
      <c r="L119" s="240"/>
      <c r="M119" s="241"/>
      <c r="N119" s="241"/>
      <c r="O119" s="241"/>
      <c r="P119" s="241"/>
      <c r="Q119" s="239"/>
      <c r="R119" s="239"/>
      <c r="S119" s="239"/>
      <c r="T119" s="239"/>
      <c r="U119" s="239"/>
      <c r="V119" s="239"/>
      <c r="W119" s="239"/>
      <c r="X119" s="241"/>
      <c r="Y119" s="238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</row>
    <row r="120" ht="12.75" customHeight="1">
      <c r="A120" s="238"/>
      <c r="B120" s="238"/>
      <c r="C120" s="238"/>
      <c r="D120" s="238"/>
      <c r="E120" s="238"/>
      <c r="F120" s="238"/>
      <c r="G120" s="241"/>
      <c r="H120" s="241"/>
      <c r="I120" s="241"/>
      <c r="J120" s="238"/>
      <c r="K120" s="238"/>
      <c r="L120" s="240"/>
      <c r="M120" s="239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38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</row>
    <row r="121" ht="12.75" customHeight="1">
      <c r="A121" s="235"/>
      <c r="B121" s="236"/>
      <c r="C121" s="237"/>
      <c r="D121" s="238"/>
      <c r="E121" s="238"/>
      <c r="F121" s="238"/>
      <c r="G121" s="239"/>
      <c r="H121" s="239"/>
      <c r="I121" s="239"/>
      <c r="J121" s="240"/>
      <c r="K121" s="240"/>
      <c r="L121" s="240"/>
      <c r="M121" s="241"/>
      <c r="N121" s="241"/>
      <c r="O121" s="241"/>
      <c r="P121" s="241"/>
      <c r="Q121" s="239"/>
      <c r="R121" s="239"/>
      <c r="S121" s="239"/>
      <c r="T121" s="239"/>
      <c r="U121" s="239"/>
      <c r="V121" s="239"/>
      <c r="W121" s="239"/>
      <c r="X121" s="241"/>
      <c r="Y121" s="238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  <c r="AM121" s="170"/>
      <c r="AN121" s="170"/>
      <c r="AO121" s="170"/>
      <c r="AP121" s="170"/>
      <c r="AQ121" s="170"/>
      <c r="AR121" s="170"/>
    </row>
    <row r="122" ht="12.75" customHeight="1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9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38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</row>
    <row r="123" ht="12.75" customHeight="1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38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0"/>
      <c r="AJ123" s="170"/>
      <c r="AK123" s="170"/>
      <c r="AL123" s="170"/>
      <c r="AM123" s="170"/>
      <c r="AN123" s="170"/>
      <c r="AO123" s="170"/>
      <c r="AP123" s="170"/>
      <c r="AQ123" s="170"/>
      <c r="AR123" s="170"/>
    </row>
    <row r="124" ht="12.75" customHeight="1">
      <c r="A124" s="238"/>
      <c r="B124" s="238"/>
      <c r="C124" s="242"/>
      <c r="D124" s="243"/>
      <c r="E124" s="244"/>
      <c r="F124" s="244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4"/>
      <c r="Y124" s="238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  <c r="AM124" s="170"/>
      <c r="AN124" s="170"/>
      <c r="AO124" s="170"/>
      <c r="AP124" s="170"/>
      <c r="AQ124" s="170"/>
      <c r="AR124" s="170"/>
    </row>
    <row r="125" ht="12.75" customHeight="1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46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38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</row>
    <row r="126" ht="12.75" customHeight="1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38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</row>
    <row r="127" ht="12.75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38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  <c r="AM127" s="170"/>
      <c r="AN127" s="170"/>
      <c r="AO127" s="170"/>
      <c r="AP127" s="170"/>
      <c r="AQ127" s="170"/>
      <c r="AR127" s="170"/>
    </row>
    <row r="128" ht="12.75" customHeight="1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38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</row>
    <row r="129" ht="12.75" customHeight="1">
      <c r="A129" s="247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38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  <c r="AN129" s="170"/>
      <c r="AO129" s="170"/>
      <c r="AP129" s="170"/>
      <c r="AQ129" s="170"/>
      <c r="AR129" s="170"/>
    </row>
    <row r="130" ht="12.75" customHeight="1">
      <c r="A130" s="247"/>
      <c r="B130" s="238"/>
      <c r="C130" s="238"/>
      <c r="D130" s="23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38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0"/>
      <c r="AM130" s="170"/>
      <c r="AN130" s="170"/>
      <c r="AO130" s="170"/>
      <c r="AP130" s="170"/>
      <c r="AQ130" s="170"/>
      <c r="AR130" s="170"/>
    </row>
    <row r="131" ht="12.75" customHeight="1">
      <c r="A131" s="247"/>
      <c r="B131" s="238"/>
      <c r="C131" s="238"/>
      <c r="D131" s="238"/>
      <c r="E131" s="248"/>
      <c r="F131" s="248"/>
      <c r="G131" s="248"/>
      <c r="H131" s="248"/>
      <c r="I131" s="248"/>
      <c r="J131" s="248"/>
      <c r="K131" s="248"/>
      <c r="L131" s="248"/>
      <c r="M131" s="249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38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  <c r="AM131" s="170"/>
      <c r="AN131" s="170"/>
      <c r="AO131" s="170"/>
      <c r="AP131" s="170"/>
      <c r="AQ131" s="170"/>
      <c r="AR131" s="170"/>
    </row>
    <row r="132" ht="12.75" customHeight="1">
      <c r="A132" s="235"/>
      <c r="B132" s="236"/>
      <c r="C132" s="237"/>
      <c r="D132" s="238"/>
      <c r="E132" s="238"/>
      <c r="F132" s="238"/>
      <c r="G132" s="240"/>
      <c r="H132" s="240"/>
      <c r="I132" s="240"/>
      <c r="J132" s="240"/>
      <c r="K132" s="240"/>
      <c r="L132" s="240"/>
      <c r="M132" s="241"/>
      <c r="N132" s="241"/>
      <c r="O132" s="241"/>
      <c r="P132" s="241"/>
      <c r="Q132" s="241"/>
      <c r="R132" s="241"/>
      <c r="S132" s="239"/>
      <c r="T132" s="239"/>
      <c r="U132" s="239"/>
      <c r="V132" s="239"/>
      <c r="W132" s="239"/>
      <c r="X132" s="241"/>
      <c r="Y132" s="238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0"/>
      <c r="AM132" s="170"/>
      <c r="AN132" s="170"/>
      <c r="AO132" s="170"/>
      <c r="AP132" s="170"/>
      <c r="AQ132" s="170"/>
      <c r="AR132" s="170"/>
    </row>
    <row r="133" ht="12.7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38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</row>
    <row r="134" ht="12.75" customHeight="1">
      <c r="A134" s="235"/>
      <c r="B134" s="236"/>
      <c r="C134" s="237"/>
      <c r="D134" s="238"/>
      <c r="E134" s="238"/>
      <c r="F134" s="238"/>
      <c r="G134" s="240"/>
      <c r="H134" s="240"/>
      <c r="I134" s="240"/>
      <c r="J134" s="240"/>
      <c r="K134" s="240"/>
      <c r="L134" s="240"/>
      <c r="M134" s="241"/>
      <c r="N134" s="241"/>
      <c r="O134" s="241"/>
      <c r="P134" s="241"/>
      <c r="Q134" s="241"/>
      <c r="R134" s="241"/>
      <c r="S134" s="239"/>
      <c r="T134" s="239"/>
      <c r="U134" s="239"/>
      <c r="V134" s="239"/>
      <c r="W134" s="239"/>
      <c r="X134" s="241"/>
      <c r="Y134" s="238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  <c r="AM134" s="170"/>
      <c r="AN134" s="170"/>
      <c r="AO134" s="170"/>
      <c r="AP134" s="170"/>
      <c r="AQ134" s="170"/>
      <c r="AR134" s="170"/>
    </row>
    <row r="135" ht="12.75" customHeight="1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38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  <c r="AM135" s="170"/>
      <c r="AN135" s="170"/>
      <c r="AO135" s="170"/>
      <c r="AP135" s="170"/>
      <c r="AQ135" s="170"/>
      <c r="AR135" s="170"/>
    </row>
    <row r="136" ht="12.75" customHeight="1">
      <c r="A136" s="235"/>
      <c r="B136" s="236"/>
      <c r="C136" s="237"/>
      <c r="D136" s="238"/>
      <c r="E136" s="238"/>
      <c r="F136" s="238"/>
      <c r="G136" s="240"/>
      <c r="H136" s="240"/>
      <c r="I136" s="240"/>
      <c r="J136" s="240"/>
      <c r="K136" s="240"/>
      <c r="L136" s="240"/>
      <c r="M136" s="241"/>
      <c r="N136" s="241"/>
      <c r="O136" s="241"/>
      <c r="P136" s="241"/>
      <c r="Q136" s="241"/>
      <c r="R136" s="241"/>
      <c r="S136" s="239"/>
      <c r="T136" s="239"/>
      <c r="U136" s="239"/>
      <c r="V136" s="239"/>
      <c r="W136" s="239"/>
      <c r="X136" s="241"/>
      <c r="Y136" s="238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  <c r="AP136" s="170"/>
      <c r="AQ136" s="170"/>
      <c r="AR136" s="170"/>
    </row>
    <row r="137" ht="12.75" customHeight="1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38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  <c r="AM137" s="170"/>
      <c r="AN137" s="170"/>
      <c r="AO137" s="170"/>
      <c r="AP137" s="170"/>
      <c r="AQ137" s="170"/>
      <c r="AR137" s="170"/>
    </row>
    <row r="138" ht="12.75" customHeight="1">
      <c r="A138" s="235"/>
      <c r="B138" s="236"/>
      <c r="C138" s="237"/>
      <c r="D138" s="238"/>
      <c r="E138" s="238"/>
      <c r="F138" s="238"/>
      <c r="G138" s="240"/>
      <c r="H138" s="240"/>
      <c r="I138" s="240"/>
      <c r="J138" s="240"/>
      <c r="K138" s="240"/>
      <c r="L138" s="240"/>
      <c r="M138" s="241"/>
      <c r="N138" s="241"/>
      <c r="O138" s="241"/>
      <c r="P138" s="241"/>
      <c r="Q138" s="241"/>
      <c r="R138" s="241"/>
      <c r="S138" s="239"/>
      <c r="T138" s="239"/>
      <c r="U138" s="239"/>
      <c r="V138" s="239"/>
      <c r="W138" s="239"/>
      <c r="X138" s="241"/>
      <c r="Y138" s="238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  <c r="AM138" s="170"/>
      <c r="AN138" s="170"/>
      <c r="AO138" s="170"/>
      <c r="AP138" s="170"/>
      <c r="AQ138" s="170"/>
      <c r="AR138" s="170"/>
    </row>
    <row r="139" ht="12.75" customHeight="1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38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  <c r="AM139" s="170"/>
      <c r="AN139" s="170"/>
      <c r="AO139" s="170"/>
      <c r="AP139" s="170"/>
      <c r="AQ139" s="170"/>
      <c r="AR139" s="170"/>
    </row>
    <row r="140" ht="12.75" customHeight="1">
      <c r="A140" s="235"/>
      <c r="B140" s="236"/>
      <c r="C140" s="237"/>
      <c r="D140" s="238"/>
      <c r="E140" s="238"/>
      <c r="F140" s="238"/>
      <c r="G140" s="240"/>
      <c r="H140" s="240"/>
      <c r="I140" s="240"/>
      <c r="J140" s="240"/>
      <c r="K140" s="240"/>
      <c r="L140" s="240"/>
      <c r="M140" s="241"/>
      <c r="N140" s="241"/>
      <c r="O140" s="241"/>
      <c r="P140" s="241"/>
      <c r="Q140" s="241"/>
      <c r="R140" s="241"/>
      <c r="S140" s="239"/>
      <c r="T140" s="239"/>
      <c r="U140" s="239"/>
      <c r="V140" s="239"/>
      <c r="W140" s="239"/>
      <c r="X140" s="241"/>
      <c r="Y140" s="238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0"/>
      <c r="AO140" s="170"/>
      <c r="AP140" s="170"/>
      <c r="AQ140" s="170"/>
      <c r="AR140" s="170"/>
    </row>
    <row r="141" ht="12.75" customHeight="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38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0"/>
      <c r="AM141" s="170"/>
      <c r="AN141" s="170"/>
      <c r="AO141" s="170"/>
      <c r="AP141" s="170"/>
      <c r="AQ141" s="170"/>
      <c r="AR141" s="170"/>
    </row>
    <row r="142" ht="12.75" customHeight="1">
      <c r="A142" s="235"/>
      <c r="B142" s="236"/>
      <c r="C142" s="237"/>
      <c r="D142" s="238"/>
      <c r="E142" s="238"/>
      <c r="F142" s="238"/>
      <c r="G142" s="240"/>
      <c r="H142" s="240"/>
      <c r="I142" s="240"/>
      <c r="J142" s="240"/>
      <c r="K142" s="240"/>
      <c r="L142" s="240"/>
      <c r="M142" s="241"/>
      <c r="N142" s="241"/>
      <c r="O142" s="241"/>
      <c r="P142" s="241"/>
      <c r="Q142" s="241"/>
      <c r="R142" s="241"/>
      <c r="S142" s="239"/>
      <c r="T142" s="239"/>
      <c r="U142" s="239"/>
      <c r="V142" s="239"/>
      <c r="W142" s="239"/>
      <c r="X142" s="241"/>
      <c r="Y142" s="238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0"/>
      <c r="AO142" s="170"/>
      <c r="AP142" s="170"/>
      <c r="AQ142" s="170"/>
      <c r="AR142" s="170"/>
    </row>
    <row r="143" ht="12.75" customHeight="1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</row>
    <row r="144" ht="12.75" customHeight="1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</row>
    <row r="145" ht="12.75" customHeight="1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</row>
    <row r="146" ht="12.75" customHeight="1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</row>
    <row r="147" ht="12.75" customHeight="1">
      <c r="A147" s="162"/>
    </row>
    <row r="148" ht="12.75" customHeight="1"/>
    <row r="149" ht="12.75" customHeight="1">
      <c r="X149" s="148"/>
    </row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N11:N12"/>
    <mergeCell ref="O11:O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2021-02-10T05:24:47Z</dcterms:created>
  <dc:creator>Human Resource Dept.</dc:creator>
</cp:coreProperties>
</file>