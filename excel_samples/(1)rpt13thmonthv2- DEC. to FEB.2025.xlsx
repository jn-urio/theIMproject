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.2024 to feb.2025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S2ok+wIKjaD7JDj2xaBT3y0ruF+t539pBUecHEUrdRg="/>
    </ext>
  </extLst>
</workbook>
</file>

<file path=xl/sharedStrings.xml><?xml version="1.0" encoding="utf-8"?>
<sst xmlns="http://schemas.openxmlformats.org/spreadsheetml/2006/main" count="162" uniqueCount="87">
  <si>
    <t>13th Month-FIRST QUARTER 2025</t>
  </si>
  <si>
    <t>SIGNATURE LEDGER</t>
  </si>
  <si>
    <t>EMPLOYEE</t>
  </si>
  <si>
    <t>DECEMBER</t>
  </si>
  <si>
    <t>JANUARY</t>
  </si>
  <si>
    <t>FEBRUARY</t>
  </si>
  <si>
    <t>TOTAL</t>
  </si>
  <si>
    <t>FINANCE DEPARTMENT</t>
  </si>
  <si>
    <t>Basic</t>
  </si>
  <si>
    <t>13th Month</t>
  </si>
  <si>
    <t>1</t>
  </si>
  <si>
    <t>.</t>
  </si>
  <si>
    <t>Employee A</t>
  </si>
  <si>
    <t>2</t>
  </si>
  <si>
    <t>Employee B</t>
  </si>
  <si>
    <t>3</t>
  </si>
  <si>
    <t>Employee C</t>
  </si>
  <si>
    <t>4</t>
  </si>
  <si>
    <t>Employee D</t>
  </si>
  <si>
    <t>5</t>
  </si>
  <si>
    <t>Employee E</t>
  </si>
  <si>
    <t>6</t>
  </si>
  <si>
    <t>Employee F</t>
  </si>
  <si>
    <t>7</t>
  </si>
  <si>
    <t>Employee G</t>
  </si>
  <si>
    <t>8</t>
  </si>
  <si>
    <t>Employee H</t>
  </si>
  <si>
    <t>SUB TOTAL &gt;&gt;&gt;</t>
  </si>
  <si>
    <t>GENERAL AND ADMINISTRATION</t>
  </si>
  <si>
    <t>Employee I</t>
  </si>
  <si>
    <t>Employee J</t>
  </si>
  <si>
    <t>Employee K</t>
  </si>
  <si>
    <t>Employee L</t>
  </si>
  <si>
    <t xml:space="preserve"> </t>
  </si>
  <si>
    <t>Employee M</t>
  </si>
  <si>
    <t>GOLF OPERATION</t>
  </si>
  <si>
    <t>Employee N</t>
  </si>
  <si>
    <t>Employee O</t>
  </si>
  <si>
    <t>Employee P</t>
  </si>
  <si>
    <t>Employee Q</t>
  </si>
  <si>
    <t>Employee R</t>
  </si>
  <si>
    <t>Employee S</t>
  </si>
  <si>
    <t>Employee T</t>
  </si>
  <si>
    <t>Employee U</t>
  </si>
  <si>
    <t>GOLF MAINTENANCE</t>
  </si>
  <si>
    <t>Employee V</t>
  </si>
  <si>
    <t>Employee W</t>
  </si>
  <si>
    <t>HOUSEKEEPING</t>
  </si>
  <si>
    <t>Employee X</t>
  </si>
  <si>
    <t>Employee Y</t>
  </si>
  <si>
    <t>Employee Z</t>
  </si>
  <si>
    <t>Employee AA</t>
  </si>
  <si>
    <t>Employee AB</t>
  </si>
  <si>
    <t>FOOD AND BEVERAGES</t>
  </si>
  <si>
    <t>Employee AC</t>
  </si>
  <si>
    <t>Employee AD</t>
  </si>
  <si>
    <t>Employee AE</t>
  </si>
  <si>
    <t>Employee AF</t>
  </si>
  <si>
    <t>Employee AG</t>
  </si>
  <si>
    <t>Employee AH</t>
  </si>
  <si>
    <t>Employee AI</t>
  </si>
  <si>
    <t>Employee AJ</t>
  </si>
  <si>
    <t>HUMAN RESOURCE &amp; DEVELOPMENT</t>
  </si>
  <si>
    <t>Employee AK</t>
  </si>
  <si>
    <t>Employee AL</t>
  </si>
  <si>
    <t>Employee AM</t>
  </si>
  <si>
    <t>INTERNAL AUDIT DEPT.</t>
  </si>
  <si>
    <t>Employee AN</t>
  </si>
  <si>
    <t>MEMBERSHIP</t>
  </si>
  <si>
    <t>Employee AO</t>
  </si>
  <si>
    <t>GRAND TOTAL &gt;&gt;&gt;</t>
  </si>
  <si>
    <t>RNF</t>
  </si>
  <si>
    <t>SUP</t>
  </si>
  <si>
    <t>Maintenance</t>
  </si>
  <si>
    <t>DEC</t>
  </si>
  <si>
    <t>Sportsclub</t>
  </si>
  <si>
    <t>JAN</t>
  </si>
  <si>
    <t xml:space="preserve">Finance </t>
  </si>
  <si>
    <t>FEB</t>
  </si>
  <si>
    <t>Audit</t>
  </si>
  <si>
    <t>Housekeeping</t>
  </si>
  <si>
    <t>Golf operation</t>
  </si>
  <si>
    <t>Gen. &amp; admin</t>
  </si>
  <si>
    <t>HR</t>
  </si>
  <si>
    <t>Membership</t>
  </si>
  <si>
    <t>FnB</t>
  </si>
  <si>
    <t>1st QUARTER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</si>
</sst>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);\-#,##0.00"/>
    <numFmt numFmtId="165" formatCode="_(* #,##0.00_);_(* \(#,##0.00\);_(* &quot;-&quot;??_);_(@_)"/>
    <numFmt numFmtId="166" formatCode="#,##0.0000000000"/>
  </numFmts>
  <fonts count="17">
    <font>
      <sz val="10.0"/>
      <color rgb="FF000000"/>
      <name val="Open Sans"/>
      <scheme val="minor"/>
    </font>
    <font>
      <b/>
      <sz val="10.0"/>
      <color rgb="FFFF0000"/>
      <name val="Tahoma"/>
    </font>
    <font>
      <b/>
      <sz val="10.0"/>
      <color rgb="FF000000"/>
      <name val="Tahoma"/>
    </font>
    <font>
      <sz val="10.0"/>
      <color rgb="FF000000"/>
      <name val="Tahoma"/>
    </font>
    <font>
      <sz val="10.0"/>
      <color rgb="FFFF0000"/>
      <name val="Tahoma"/>
    </font>
    <font>
      <sz val="10.0"/>
      <color rgb="FF000000"/>
      <name val="Open Sans"/>
    </font>
    <font>
      <sz val="10.0"/>
      <color rgb="FFFF0000"/>
      <name val="Open Sans"/>
    </font>
    <font/>
    <font>
      <b/>
      <sz val="12.0"/>
      <color rgb="FFFF0000"/>
      <name val="Cambria"/>
    </font>
    <font>
      <sz val="14.0"/>
      <color rgb="FF000000"/>
      <name val="Mongolian Baiti"/>
    </font>
    <font>
      <b/>
      <sz val="14.0"/>
      <color rgb="FF000000"/>
      <name val="Mongolian Baiti"/>
    </font>
    <font>
      <sz val="11.0"/>
      <color rgb="FF000000"/>
      <name val="Tahoma"/>
    </font>
    <font>
      <sz val="8.0"/>
      <color rgb="FF000000"/>
      <name val="Open Sans"/>
    </font>
    <font>
      <b/>
      <sz val="11.0"/>
      <color rgb="FFFF0000"/>
      <name val="Tahoma"/>
    </font>
    <font>
      <b/>
      <sz val="14.0"/>
      <color rgb="FFFF0000"/>
      <name val="Mongolian Baiti"/>
    </font>
    <font>
      <b/>
      <sz val="10.0"/>
      <color rgb="FFFF0000"/>
      <name val="Open Sans"/>
    </font>
    <font>
      <b/>
      <sz val="16.0"/>
      <color rgb="FFFF0000"/>
      <name val="Mongolian Bait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0" fontId="7" numFmtId="0" xfId="0" applyBorder="1" applyFont="1"/>
    <xf borderId="3" fillId="0" fontId="7" numFmtId="0" xfId="0" applyBorder="1" applyFont="1"/>
    <xf borderId="2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5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4" fillId="0" fontId="3" numFmtId="3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readingOrder="0" shrinkToFit="0" vertical="center" wrapText="0"/>
    </xf>
    <xf borderId="4" fillId="0" fontId="3" numFmtId="164" xfId="0" applyAlignment="1" applyBorder="1" applyFont="1" applyNumberFormat="1">
      <alignment horizontal="right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5" fillId="0" fontId="3" numFmtId="164" xfId="0" applyAlignment="1" applyBorder="1" applyFont="1" applyNumberFormat="1">
      <alignment horizontal="right" shrinkToFit="0" vertical="center" wrapText="0"/>
    </xf>
    <xf borderId="6" fillId="2" fontId="4" numFmtId="164" xfId="0" applyAlignment="1" applyBorder="1" applyFill="1" applyFont="1" applyNumberFormat="1">
      <alignment horizontal="right" shrinkToFit="0" vertical="center" wrapText="0"/>
    </xf>
    <xf borderId="0" fillId="0" fontId="3" numFmtId="3" xfId="0" applyAlignment="1" applyFont="1" applyNumberFormat="1">
      <alignment horizontal="right" shrinkToFit="0" vertical="center" wrapText="0"/>
    </xf>
    <xf borderId="5" fillId="0" fontId="4" numFmtId="164" xfId="0" applyAlignment="1" applyBorder="1" applyFont="1" applyNumberFormat="1">
      <alignment horizontal="right" shrinkToFit="0" vertical="center" wrapText="0"/>
    </xf>
    <xf borderId="5" fillId="0" fontId="2" numFmtId="0" xfId="0" applyAlignment="1" applyBorder="1" applyFont="1">
      <alignment horizontal="right" shrinkToFit="0" vertical="center" wrapText="0"/>
    </xf>
    <xf borderId="4" fillId="0" fontId="2" numFmtId="164" xfId="0" applyAlignment="1" applyBorder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5" fillId="0" fontId="2" numFmtId="164" xfId="0" applyAlignment="1" applyBorder="1" applyFont="1" applyNumberFormat="1">
      <alignment horizontal="right" shrinkToFit="0" vertical="center" wrapText="0"/>
    </xf>
    <xf borderId="5" fillId="0" fontId="1" numFmtId="16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5" fillId="0" fontId="3" numFmtId="0" xfId="0" applyAlignment="1" applyBorder="1" applyFont="1">
      <alignment horizontal="right" shrinkToFit="0" vertical="center" wrapText="0"/>
    </xf>
    <xf borderId="1" fillId="0" fontId="2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right" shrinkToFit="0" vertical="center" wrapText="0"/>
    </xf>
    <xf borderId="7" fillId="0" fontId="2" numFmtId="164" xfId="0" applyAlignment="1" applyBorder="1" applyFont="1" applyNumberFormat="1">
      <alignment horizontal="right" shrinkToFit="0" vertical="center" wrapText="0"/>
    </xf>
    <xf borderId="10" fillId="3" fontId="2" numFmtId="164" xfId="0" applyAlignment="1" applyBorder="1" applyFill="1" applyFont="1" applyNumberFormat="1">
      <alignment horizontal="right" shrinkToFit="0" vertical="center" wrapText="0"/>
    </xf>
    <xf borderId="8" fillId="0" fontId="2" numFmtId="164" xfId="0" applyAlignment="1" applyBorder="1" applyFont="1" applyNumberFormat="1">
      <alignment horizontal="right" shrinkToFit="0" vertical="center" wrapText="0"/>
    </xf>
    <xf borderId="11" fillId="3" fontId="2" numFmtId="164" xfId="0" applyAlignment="1" applyBorder="1" applyFont="1" applyNumberFormat="1">
      <alignment horizontal="right" shrinkToFit="0" vertical="center" wrapText="0"/>
    </xf>
    <xf borderId="10" fillId="0" fontId="1" numFmtId="164" xfId="0" applyAlignment="1" applyBorder="1" applyFont="1" applyNumberFormat="1">
      <alignment horizontal="right" shrinkToFit="0" vertical="center" wrapText="0"/>
    </xf>
    <xf borderId="0" fillId="0" fontId="8" numFmtId="165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12" numFmtId="166" xfId="0" applyAlignment="1" applyFont="1" applyNumberFormat="1">
      <alignment shrinkToFit="0" vertical="bottom" wrapText="0"/>
    </xf>
    <xf borderId="0" fillId="0" fontId="10" numFmtId="4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2" fillId="4" fontId="14" numFmtId="0" xfId="0" applyAlignment="1" applyBorder="1" applyFill="1" applyFont="1">
      <alignment shrinkToFit="0" vertical="bottom" wrapText="0"/>
    </xf>
    <xf borderId="12" fillId="4" fontId="15" numFmtId="0" xfId="0" applyAlignment="1" applyBorder="1" applyFont="1">
      <alignment shrinkToFit="0" vertical="bottom" wrapText="0"/>
    </xf>
    <xf borderId="12" fillId="4" fontId="16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ayroll Manual/13TH MONTH-APPRAISAL-ATTENDANCE/13th month 2025/Quarterly Maintenance - 2025/(1)rpt13thmonthv2. DEC. to FEB. 2025 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c.2023-feb.2024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4.43" defaultRowHeight="15.0"/>
  <cols>
    <col customWidth="1" min="1" max="1" width="3.14"/>
    <col customWidth="1" min="2" max="2" width="2.71"/>
    <col customWidth="1" min="3" max="3" width="11.43"/>
    <col customWidth="1" min="4" max="4" width="8.86"/>
    <col customWidth="1" hidden="1" min="5" max="5" width="8.57"/>
    <col customWidth="1" min="6" max="6" width="14.86"/>
    <col customWidth="1" min="7" max="7" width="14.0"/>
    <col customWidth="1" min="8" max="8" width="17.57"/>
    <col customWidth="1" min="9" max="9" width="15.0"/>
    <col customWidth="1" min="10" max="10" width="16.0"/>
    <col customWidth="1" min="11" max="11" width="13.71"/>
    <col customWidth="1" min="12" max="12" width="13.43"/>
    <col customWidth="1" min="13" max="13" width="13.86"/>
    <col customWidth="1" min="14" max="14" width="11.57"/>
    <col customWidth="1" min="15" max="15" width="13.86"/>
    <col customWidth="1" min="16" max="16" width="13.71"/>
    <col customWidth="1" min="17" max="18" width="11.43"/>
    <col customWidth="1" min="19" max="19" width="17.0"/>
    <col customWidth="1" min="20" max="26" width="8.0"/>
  </cols>
  <sheetData>
    <row r="1" ht="12.75" customHeight="1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3"/>
    </row>
    <row r="2" ht="12.7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3"/>
      <c r="R2" s="3"/>
    </row>
    <row r="3" ht="12.75" customHeight="1">
      <c r="A3" s="2" t="s">
        <v>1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R3" s="3"/>
    </row>
    <row r="4" ht="13.5" customHeight="1">
      <c r="A4" s="3"/>
      <c r="B4" s="3"/>
      <c r="C4" s="2" t="s">
        <v>2</v>
      </c>
      <c r="D4" s="3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3"/>
      <c r="R4" s="3"/>
    </row>
    <row r="5" ht="12.75" customHeight="1">
      <c r="A5" s="7"/>
      <c r="B5" s="8"/>
      <c r="C5" s="8"/>
      <c r="D5" s="8"/>
      <c r="E5" s="9"/>
      <c r="F5" s="10" t="s">
        <v>3</v>
      </c>
      <c r="G5" s="11"/>
      <c r="H5" s="12"/>
      <c r="I5" s="10" t="s">
        <v>4</v>
      </c>
      <c r="J5" s="11"/>
      <c r="K5" s="12"/>
      <c r="L5" s="13" t="s">
        <v>5</v>
      </c>
      <c r="M5" s="11"/>
      <c r="N5" s="12"/>
      <c r="O5" s="10" t="s">
        <v>6</v>
      </c>
      <c r="P5" s="12"/>
      <c r="Q5" s="3"/>
      <c r="R5" s="3"/>
    </row>
    <row r="6" ht="12.75" customHeight="1">
      <c r="A6" s="14" t="s">
        <v>7</v>
      </c>
      <c r="B6" s="3"/>
      <c r="C6" s="15"/>
      <c r="D6" s="3"/>
      <c r="E6" s="16"/>
      <c r="F6" s="17" t="s">
        <v>8</v>
      </c>
      <c r="G6" s="18" t="s">
        <v>8</v>
      </c>
      <c r="H6" s="19" t="s">
        <v>9</v>
      </c>
      <c r="I6" s="17" t="s">
        <v>8</v>
      </c>
      <c r="J6" s="18" t="s">
        <v>8</v>
      </c>
      <c r="K6" s="19" t="s">
        <v>9</v>
      </c>
      <c r="L6" s="18" t="s">
        <v>8</v>
      </c>
      <c r="M6" s="18" t="s">
        <v>8</v>
      </c>
      <c r="N6" s="19" t="s">
        <v>9</v>
      </c>
      <c r="O6" s="17" t="s">
        <v>8</v>
      </c>
      <c r="P6" s="20" t="s">
        <v>9</v>
      </c>
      <c r="Q6" s="3"/>
      <c r="R6" s="3"/>
    </row>
    <row r="7" ht="12.75" customHeight="1">
      <c r="A7" s="21"/>
      <c r="B7" s="3"/>
      <c r="C7" s="3"/>
      <c r="D7" s="3"/>
      <c r="E7" s="16"/>
      <c r="F7" s="21"/>
      <c r="G7" s="3"/>
      <c r="H7" s="16"/>
      <c r="I7" s="21"/>
      <c r="J7" s="3"/>
      <c r="K7" s="16"/>
      <c r="L7" s="3"/>
      <c r="M7" s="3"/>
      <c r="N7" s="16"/>
      <c r="O7" s="21"/>
      <c r="P7" s="22"/>
      <c r="Q7" s="3"/>
      <c r="R7" s="3"/>
    </row>
    <row r="8" ht="12.75" customHeight="1">
      <c r="A8" s="23" t="s">
        <v>10</v>
      </c>
      <c r="B8" s="24" t="s">
        <v>11</v>
      </c>
      <c r="C8" s="25" t="s">
        <v>12</v>
      </c>
      <c r="D8" s="3"/>
      <c r="E8" s="16"/>
      <c r="F8" s="26">
        <f>7693.29+306.71</f>
        <v>8000</v>
      </c>
      <c r="G8" s="27">
        <f>7386.58+613.42</f>
        <v>8000</v>
      </c>
      <c r="H8" s="28">
        <f t="shared" ref="H8:H15" si="1">(F8+G8)/12</f>
        <v>1333.333333</v>
      </c>
      <c r="I8" s="26">
        <v>8000.0</v>
      </c>
      <c r="J8" s="27">
        <f>7939.47+316.52</f>
        <v>8255.99</v>
      </c>
      <c r="K8" s="28">
        <f t="shared" ref="K8:K15" si="2">(I8+J8)/12</f>
        <v>1354.665833</v>
      </c>
      <c r="L8" s="27">
        <f>+7939.47+316.52</f>
        <v>8255.99</v>
      </c>
      <c r="M8" s="27">
        <v>8256.0</v>
      </c>
      <c r="N8" s="28">
        <f t="shared" ref="N8:N15" si="3">(L8+M8)/12</f>
        <v>1375.999167</v>
      </c>
      <c r="O8" s="26">
        <f t="shared" ref="O8:O15" si="4">F8+G8+I8+J8+L8+M8</f>
        <v>48767.98</v>
      </c>
      <c r="P8" s="29">
        <f t="shared" ref="P8:P15" si="5">H8+K8+N8</f>
        <v>4063.998333</v>
      </c>
      <c r="Q8" s="30"/>
      <c r="R8" s="24"/>
    </row>
    <row r="9" ht="12.75" customHeight="1">
      <c r="A9" s="23" t="s">
        <v>13</v>
      </c>
      <c r="B9" s="24" t="s">
        <v>11</v>
      </c>
      <c r="C9" s="25" t="s">
        <v>14</v>
      </c>
      <c r="D9" s="3"/>
      <c r="E9" s="16"/>
      <c r="F9" s="26">
        <f>7212.46+287.54</f>
        <v>7500</v>
      </c>
      <c r="G9" s="27">
        <v>7500.0</v>
      </c>
      <c r="H9" s="28">
        <f t="shared" si="1"/>
        <v>1250</v>
      </c>
      <c r="I9" s="26">
        <v>7500.0</v>
      </c>
      <c r="J9" s="27">
        <f>5618.91+2061.09</f>
        <v>7680</v>
      </c>
      <c r="K9" s="28">
        <f t="shared" si="2"/>
        <v>1265</v>
      </c>
      <c r="L9" s="27">
        <v>7680.0</v>
      </c>
      <c r="M9" s="27">
        <f>6207.79+1472.2</f>
        <v>7679.99</v>
      </c>
      <c r="N9" s="28">
        <f t="shared" si="3"/>
        <v>1279.999167</v>
      </c>
      <c r="O9" s="26">
        <f t="shared" si="4"/>
        <v>45539.99</v>
      </c>
      <c r="P9" s="31">
        <f t="shared" si="5"/>
        <v>3794.999167</v>
      </c>
      <c r="Q9" s="30"/>
      <c r="R9" s="24"/>
    </row>
    <row r="10" ht="12.75" customHeight="1">
      <c r="A10" s="23" t="s">
        <v>15</v>
      </c>
      <c r="B10" s="24" t="s">
        <v>11</v>
      </c>
      <c r="C10" s="25" t="s">
        <v>16</v>
      </c>
      <c r="D10" s="3"/>
      <c r="E10" s="16"/>
      <c r="F10" s="26">
        <f>9233.22+766.77</f>
        <v>9999.99</v>
      </c>
      <c r="G10" s="27">
        <f>7699.68+2300.32</f>
        <v>10000</v>
      </c>
      <c r="H10" s="28">
        <f t="shared" si="1"/>
        <v>1666.665833</v>
      </c>
      <c r="I10" s="26">
        <f>9233.22+766.78</f>
        <v>10000</v>
      </c>
      <c r="J10" s="27">
        <v>10240.0</v>
      </c>
      <c r="K10" s="28">
        <f t="shared" si="2"/>
        <v>1686.666667</v>
      </c>
      <c r="L10" s="27">
        <f>9847.41+392.59</f>
        <v>10240</v>
      </c>
      <c r="M10" s="27">
        <f>9454.82+785.18</f>
        <v>10240</v>
      </c>
      <c r="N10" s="28">
        <f t="shared" si="3"/>
        <v>1706.666667</v>
      </c>
      <c r="O10" s="26">
        <f t="shared" si="4"/>
        <v>60719.99</v>
      </c>
      <c r="P10" s="31">
        <f t="shared" si="5"/>
        <v>5059.999167</v>
      </c>
      <c r="Q10" s="30"/>
      <c r="R10" s="24"/>
    </row>
    <row r="11" ht="12.75" customHeight="1">
      <c r="A11" s="23" t="s">
        <v>17</v>
      </c>
      <c r="B11" s="24" t="s">
        <v>11</v>
      </c>
      <c r="C11" s="25" t="s">
        <v>18</v>
      </c>
      <c r="D11" s="3"/>
      <c r="E11" s="16"/>
      <c r="F11" s="26">
        <f>3466.05+1897.76</f>
        <v>5363.81</v>
      </c>
      <c r="G11" s="27">
        <v>8250.0</v>
      </c>
      <c r="H11" s="28">
        <f t="shared" si="1"/>
        <v>1134.484167</v>
      </c>
      <c r="I11" s="26">
        <v>8250.0</v>
      </c>
      <c r="J11" s="27">
        <f>5087.06+3162.94</f>
        <v>8250</v>
      </c>
      <c r="K11" s="28">
        <f t="shared" si="2"/>
        <v>1375</v>
      </c>
      <c r="L11" s="27">
        <f>7617.41+632.59</f>
        <v>8250</v>
      </c>
      <c r="M11" s="27">
        <f>4454.47+3795.53</f>
        <v>8250</v>
      </c>
      <c r="N11" s="28">
        <f t="shared" si="3"/>
        <v>1375</v>
      </c>
      <c r="O11" s="26">
        <f t="shared" si="4"/>
        <v>46613.81</v>
      </c>
      <c r="P11" s="31">
        <f t="shared" si="5"/>
        <v>3884.484167</v>
      </c>
      <c r="Q11" s="30"/>
      <c r="R11" s="24"/>
    </row>
    <row r="12" ht="12.75" customHeight="1">
      <c r="A12" s="23" t="s">
        <v>19</v>
      </c>
      <c r="B12" s="24" t="s">
        <v>11</v>
      </c>
      <c r="C12" s="25" t="s">
        <v>20</v>
      </c>
      <c r="D12" s="3"/>
      <c r="E12" s="16"/>
      <c r="F12" s="26">
        <v>20000.0</v>
      </c>
      <c r="G12" s="27">
        <v>20000.0</v>
      </c>
      <c r="H12" s="28">
        <f t="shared" si="1"/>
        <v>3333.333333</v>
      </c>
      <c r="I12" s="26">
        <v>20000.0</v>
      </c>
      <c r="J12" s="27">
        <v>20800.0</v>
      </c>
      <c r="K12" s="28">
        <f t="shared" si="2"/>
        <v>3400</v>
      </c>
      <c r="L12" s="27">
        <v>20800.0</v>
      </c>
      <c r="M12" s="27">
        <v>20800.0</v>
      </c>
      <c r="N12" s="28">
        <f t="shared" si="3"/>
        <v>3466.666667</v>
      </c>
      <c r="O12" s="26">
        <f t="shared" si="4"/>
        <v>122400</v>
      </c>
      <c r="P12" s="31">
        <f t="shared" si="5"/>
        <v>10200</v>
      </c>
      <c r="Q12" s="30"/>
      <c r="R12" s="24"/>
    </row>
    <row r="13" ht="12.75" customHeight="1">
      <c r="A13" s="23" t="s">
        <v>21</v>
      </c>
      <c r="B13" s="24" t="s">
        <v>11</v>
      </c>
      <c r="C13" s="25" t="s">
        <v>22</v>
      </c>
      <c r="D13" s="3"/>
      <c r="E13" s="16"/>
      <c r="F13" s="26">
        <v>7500.0</v>
      </c>
      <c r="G13" s="27">
        <v>7500.0</v>
      </c>
      <c r="H13" s="28">
        <f t="shared" si="1"/>
        <v>1250</v>
      </c>
      <c r="I13" s="26">
        <f>7212.46+287.54</f>
        <v>7500</v>
      </c>
      <c r="J13" s="27">
        <f>6690.48+869.52</f>
        <v>7560</v>
      </c>
      <c r="K13" s="28">
        <f t="shared" si="2"/>
        <v>1255</v>
      </c>
      <c r="L13" s="27">
        <f>7270.16+289.84</f>
        <v>7560</v>
      </c>
      <c r="M13" s="27">
        <v>7560.0</v>
      </c>
      <c r="N13" s="28">
        <f t="shared" si="3"/>
        <v>1260</v>
      </c>
      <c r="O13" s="26">
        <f t="shared" si="4"/>
        <v>45180</v>
      </c>
      <c r="P13" s="31">
        <f t="shared" si="5"/>
        <v>3765</v>
      </c>
      <c r="Q13" s="30"/>
      <c r="R13" s="24"/>
    </row>
    <row r="14" ht="12.75" customHeight="1">
      <c r="A14" s="23" t="s">
        <v>23</v>
      </c>
      <c r="B14" s="24" t="s">
        <v>11</v>
      </c>
      <c r="C14" s="25" t="s">
        <v>24</v>
      </c>
      <c r="D14" s="3"/>
      <c r="E14" s="16"/>
      <c r="F14" s="26">
        <f>6349.84+1150.16</f>
        <v>7500</v>
      </c>
      <c r="G14" s="27">
        <f>6924.92+575.08</f>
        <v>7500</v>
      </c>
      <c r="H14" s="28">
        <f t="shared" si="1"/>
        <v>1250</v>
      </c>
      <c r="I14" s="26">
        <v>7500.0</v>
      </c>
      <c r="J14" s="27">
        <f>6207.79+1472.2</f>
        <v>7679.99</v>
      </c>
      <c r="K14" s="28">
        <f t="shared" si="2"/>
        <v>1264.999167</v>
      </c>
      <c r="L14" s="27">
        <f>6502.23+1177.76</f>
        <v>7679.99</v>
      </c>
      <c r="M14" s="27">
        <f>7091.12+588.88</f>
        <v>7680</v>
      </c>
      <c r="N14" s="28">
        <f t="shared" si="3"/>
        <v>1279.999167</v>
      </c>
      <c r="O14" s="26">
        <f t="shared" si="4"/>
        <v>45539.98</v>
      </c>
      <c r="P14" s="31">
        <f t="shared" si="5"/>
        <v>3794.998333</v>
      </c>
      <c r="Q14" s="30"/>
      <c r="R14" s="24"/>
    </row>
    <row r="15" ht="12.75" customHeight="1">
      <c r="A15" s="23" t="s">
        <v>25</v>
      </c>
      <c r="B15" s="24" t="s">
        <v>11</v>
      </c>
      <c r="C15" s="25" t="s">
        <v>26</v>
      </c>
      <c r="D15" s="3"/>
      <c r="E15" s="16"/>
      <c r="F15" s="26">
        <f t="shared" ref="F15:G15" si="6">5808.01+482.33</f>
        <v>6290.34</v>
      </c>
      <c r="G15" s="27">
        <f t="shared" si="6"/>
        <v>6290.34</v>
      </c>
      <c r="H15" s="28">
        <f t="shared" si="1"/>
        <v>1048.39</v>
      </c>
      <c r="I15" s="26">
        <v>6290.33</v>
      </c>
      <c r="J15" s="27">
        <f>6049.17+241.16</f>
        <v>6290.33</v>
      </c>
      <c r="K15" s="28">
        <f t="shared" si="2"/>
        <v>1048.388333</v>
      </c>
      <c r="L15" s="27">
        <f>4843.35+1446.98</f>
        <v>6290.33</v>
      </c>
      <c r="M15" s="27">
        <v>6290.33</v>
      </c>
      <c r="N15" s="28">
        <f t="shared" si="3"/>
        <v>1048.388333</v>
      </c>
      <c r="O15" s="26">
        <f t="shared" si="4"/>
        <v>37742</v>
      </c>
      <c r="P15" s="31">
        <f t="shared" si="5"/>
        <v>3145.166667</v>
      </c>
      <c r="Q15" s="30"/>
      <c r="R15" s="24"/>
    </row>
    <row r="16" ht="12.75" customHeight="1">
      <c r="A16" s="21"/>
      <c r="B16" s="3"/>
      <c r="C16" s="3"/>
      <c r="D16" s="3"/>
      <c r="E16" s="16"/>
      <c r="F16" s="21"/>
      <c r="G16" s="3"/>
      <c r="H16" s="16"/>
      <c r="I16" s="21"/>
      <c r="J16" s="3"/>
      <c r="K16" s="16"/>
      <c r="L16" s="3"/>
      <c r="M16" s="3"/>
      <c r="N16" s="16"/>
      <c r="O16" s="26"/>
      <c r="P16" s="31"/>
      <c r="Q16" s="3"/>
      <c r="R16" s="3"/>
    </row>
    <row r="17" ht="12.75" customHeight="1">
      <c r="A17" s="21"/>
      <c r="B17" s="3"/>
      <c r="C17" s="3"/>
      <c r="D17" s="2"/>
      <c r="E17" s="32" t="s">
        <v>27</v>
      </c>
      <c r="F17" s="33">
        <f t="shared" ref="F17:P17" si="7">SUM(F8:F16)</f>
        <v>72154.14</v>
      </c>
      <c r="G17" s="34">
        <f t="shared" si="7"/>
        <v>75040.34</v>
      </c>
      <c r="H17" s="35">
        <f t="shared" si="7"/>
        <v>12266.20667</v>
      </c>
      <c r="I17" s="33">
        <f t="shared" si="7"/>
        <v>75040.33</v>
      </c>
      <c r="J17" s="34">
        <f t="shared" si="7"/>
        <v>76756.31</v>
      </c>
      <c r="K17" s="35">
        <f t="shared" si="7"/>
        <v>12649.72</v>
      </c>
      <c r="L17" s="34">
        <f t="shared" si="7"/>
        <v>76756.31</v>
      </c>
      <c r="M17" s="34">
        <f t="shared" si="7"/>
        <v>76756.32</v>
      </c>
      <c r="N17" s="35">
        <f t="shared" si="7"/>
        <v>12792.71917</v>
      </c>
      <c r="O17" s="33">
        <f t="shared" si="7"/>
        <v>452503.75</v>
      </c>
      <c r="P17" s="36">
        <f t="shared" si="7"/>
        <v>37708.64583</v>
      </c>
      <c r="Q17" s="3"/>
      <c r="R17" s="3"/>
    </row>
    <row r="18" ht="12.75" customHeight="1">
      <c r="A18" s="14"/>
      <c r="B18" s="3"/>
      <c r="C18" s="3"/>
      <c r="D18" s="3"/>
      <c r="E18" s="16"/>
      <c r="F18" s="21"/>
      <c r="G18" s="3"/>
      <c r="H18" s="16"/>
      <c r="I18" s="21"/>
      <c r="J18" s="3"/>
      <c r="K18" s="16"/>
      <c r="L18" s="3"/>
      <c r="M18" s="3"/>
      <c r="N18" s="16"/>
      <c r="O18" s="21"/>
      <c r="P18" s="22"/>
      <c r="Q18" s="3"/>
      <c r="R18" s="3"/>
    </row>
    <row r="19" ht="12.75" customHeight="1">
      <c r="A19" s="14" t="s">
        <v>28</v>
      </c>
      <c r="B19" s="3"/>
      <c r="C19" s="3"/>
      <c r="D19" s="3"/>
      <c r="E19" s="16"/>
      <c r="F19" s="21"/>
      <c r="G19" s="3"/>
      <c r="H19" s="16"/>
      <c r="I19" s="21"/>
      <c r="J19" s="3"/>
      <c r="K19" s="16"/>
      <c r="L19" s="3"/>
      <c r="M19" s="3"/>
      <c r="N19" s="16"/>
      <c r="O19" s="21"/>
      <c r="P19" s="22"/>
      <c r="Q19" s="3"/>
      <c r="R19" s="3"/>
    </row>
    <row r="20" ht="12.75" customHeight="1">
      <c r="A20" s="21"/>
      <c r="B20" s="3"/>
      <c r="C20" s="3"/>
      <c r="D20" s="3"/>
      <c r="E20" s="16"/>
      <c r="F20" s="21"/>
      <c r="G20" s="3"/>
      <c r="H20" s="16"/>
      <c r="I20" s="21"/>
      <c r="J20" s="3"/>
      <c r="K20" s="16"/>
      <c r="L20" s="3"/>
      <c r="M20" s="3"/>
      <c r="N20" s="16"/>
      <c r="O20" s="21"/>
      <c r="P20" s="22"/>
      <c r="Q20" s="3"/>
      <c r="R20" s="3"/>
    </row>
    <row r="21" ht="12.75" customHeight="1">
      <c r="A21" s="23" t="s">
        <v>10</v>
      </c>
      <c r="B21" s="24" t="s">
        <v>11</v>
      </c>
      <c r="C21" s="25" t="s">
        <v>29</v>
      </c>
      <c r="D21" s="3"/>
      <c r="E21" s="16"/>
      <c r="F21" s="26">
        <f>6194.89+805.11</f>
        <v>7000</v>
      </c>
      <c r="G21" s="27">
        <f>5926.52+805.11</f>
        <v>6731.63</v>
      </c>
      <c r="H21" s="28">
        <f t="shared" ref="H21:H25" si="8">(F21+G21)/12</f>
        <v>1144.3025</v>
      </c>
      <c r="I21" s="26">
        <v>7000.0</v>
      </c>
      <c r="J21" s="27">
        <f>6514.96+541.04</f>
        <v>7056</v>
      </c>
      <c r="K21" s="28">
        <f t="shared" ref="K21:K25" si="9">(I21+J21)/12</f>
        <v>1171.333333</v>
      </c>
      <c r="L21" s="27">
        <f>6514.96+541.04</f>
        <v>7056</v>
      </c>
      <c r="M21" s="27">
        <v>7056.0</v>
      </c>
      <c r="N21" s="28">
        <f t="shared" ref="N21:N25" si="10">(L21+M21)/12</f>
        <v>1176</v>
      </c>
      <c r="O21" s="26">
        <f t="shared" ref="O21:O25" si="11">F21+G21+J21+I21+L21+M21</f>
        <v>41899.63</v>
      </c>
      <c r="P21" s="31">
        <f t="shared" ref="P21:P25" si="12">H21+K21+N21</f>
        <v>3491.635833</v>
      </c>
      <c r="Q21" s="30"/>
      <c r="R21" s="24"/>
    </row>
    <row r="22" ht="12.75" customHeight="1">
      <c r="A22" s="23">
        <v>2.0</v>
      </c>
      <c r="B22" s="24" t="s">
        <v>11</v>
      </c>
      <c r="C22" s="25" t="s">
        <v>30</v>
      </c>
      <c r="D22" s="3"/>
      <c r="E22" s="16"/>
      <c r="F22" s="26">
        <v>7000.0</v>
      </c>
      <c r="G22" s="27">
        <v>7000.0</v>
      </c>
      <c r="H22" s="28">
        <f t="shared" si="8"/>
        <v>1166.666667</v>
      </c>
      <c r="I22" s="26">
        <f>6463.26+536.74</f>
        <v>7000</v>
      </c>
      <c r="J22" s="27">
        <f>6618.37+549.62</f>
        <v>7167.99</v>
      </c>
      <c r="K22" s="28">
        <f t="shared" si="9"/>
        <v>1180.665833</v>
      </c>
      <c r="L22" s="27">
        <v>7168.0</v>
      </c>
      <c r="M22" s="27">
        <f>6618.37+549.62</f>
        <v>7167.99</v>
      </c>
      <c r="N22" s="28">
        <f t="shared" si="10"/>
        <v>1194.665833</v>
      </c>
      <c r="O22" s="26">
        <f t="shared" si="11"/>
        <v>42503.98</v>
      </c>
      <c r="P22" s="31">
        <f t="shared" si="12"/>
        <v>3541.998333</v>
      </c>
      <c r="Q22" s="30"/>
      <c r="R22" s="24"/>
    </row>
    <row r="23" ht="12.75" customHeight="1">
      <c r="A23" s="23">
        <v>3.0</v>
      </c>
      <c r="B23" s="24" t="s">
        <v>11</v>
      </c>
      <c r="C23" s="25" t="s">
        <v>31</v>
      </c>
      <c r="D23" s="3"/>
      <c r="E23" s="16"/>
      <c r="F23" s="26">
        <v>9952.07</v>
      </c>
      <c r="G23" s="27">
        <v>10000.0</v>
      </c>
      <c r="H23" s="28">
        <f t="shared" si="8"/>
        <v>1662.6725</v>
      </c>
      <c r="I23" s="26">
        <f>9904.15-0.02</f>
        <v>9904.13</v>
      </c>
      <c r="J23" s="27">
        <f>8964.09+785.18</f>
        <v>9749.27</v>
      </c>
      <c r="K23" s="28">
        <f t="shared" si="9"/>
        <v>1637.783333</v>
      </c>
      <c r="L23" s="27">
        <f>7786.32+2355.53</f>
        <v>10141.85</v>
      </c>
      <c r="M23" s="27">
        <f>9405.75+785.18</f>
        <v>10190.93</v>
      </c>
      <c r="N23" s="28">
        <f t="shared" si="10"/>
        <v>1694.398333</v>
      </c>
      <c r="O23" s="26">
        <f t="shared" si="11"/>
        <v>59938.25</v>
      </c>
      <c r="P23" s="31">
        <f t="shared" si="12"/>
        <v>4994.854167</v>
      </c>
      <c r="Q23" s="30"/>
      <c r="R23" s="24"/>
    </row>
    <row r="24" ht="12.75" customHeight="1">
      <c r="A24" s="23">
        <v>4.0</v>
      </c>
      <c r="B24" s="24" t="s">
        <v>11</v>
      </c>
      <c r="C24" s="25" t="s">
        <v>32</v>
      </c>
      <c r="D24" s="3"/>
      <c r="E24" s="16"/>
      <c r="F24" s="26">
        <f>6194.89+805.11</f>
        <v>7000</v>
      </c>
      <c r="G24" s="27">
        <v>7000.0</v>
      </c>
      <c r="H24" s="28">
        <f t="shared" si="8"/>
        <v>1166.666667</v>
      </c>
      <c r="I24" s="26">
        <f>6194.89+805.11</f>
        <v>7000</v>
      </c>
      <c r="J24" s="27">
        <v>7224.0</v>
      </c>
      <c r="K24" s="28">
        <f t="shared" si="9"/>
        <v>1185.333333</v>
      </c>
      <c r="L24" s="27">
        <f>6116.16+1107.83</f>
        <v>7223.99</v>
      </c>
      <c r="M24" s="27">
        <f>6670.08+553.92</f>
        <v>7224</v>
      </c>
      <c r="N24" s="28">
        <f t="shared" si="10"/>
        <v>1203.999167</v>
      </c>
      <c r="O24" s="26">
        <f t="shared" si="11"/>
        <v>42671.99</v>
      </c>
      <c r="P24" s="31">
        <f t="shared" si="12"/>
        <v>3555.999167</v>
      </c>
      <c r="Q24" s="30"/>
      <c r="R24" s="24"/>
    </row>
    <row r="25" ht="12.75" customHeight="1">
      <c r="A25" s="23">
        <v>5.0</v>
      </c>
      <c r="B25" s="37" t="s">
        <v>33</v>
      </c>
      <c r="C25" s="25" t="s">
        <v>34</v>
      </c>
      <c r="D25" s="3"/>
      <c r="E25" s="16"/>
      <c r="F25" s="26">
        <v>25000.0</v>
      </c>
      <c r="G25" s="27">
        <v>25000.0</v>
      </c>
      <c r="H25" s="28">
        <f t="shared" si="8"/>
        <v>4166.666667</v>
      </c>
      <c r="I25" s="26">
        <v>25000.0</v>
      </c>
      <c r="J25" s="27">
        <v>25000.0</v>
      </c>
      <c r="K25" s="28">
        <f t="shared" si="9"/>
        <v>4166.666667</v>
      </c>
      <c r="L25" s="27">
        <v>25000.0</v>
      </c>
      <c r="M25" s="27">
        <v>25000.0</v>
      </c>
      <c r="N25" s="28">
        <f t="shared" si="10"/>
        <v>4166.666667</v>
      </c>
      <c r="O25" s="26">
        <f t="shared" si="11"/>
        <v>150000</v>
      </c>
      <c r="P25" s="31">
        <f t="shared" si="12"/>
        <v>12500</v>
      </c>
      <c r="Q25" s="30"/>
      <c r="R25" s="24"/>
    </row>
    <row r="26" ht="12.75" customHeight="1">
      <c r="A26" s="23"/>
      <c r="B26" s="24"/>
      <c r="C26" s="38"/>
      <c r="D26" s="3"/>
      <c r="E26" s="16"/>
      <c r="F26" s="26"/>
      <c r="G26" s="27"/>
      <c r="H26" s="28"/>
      <c r="I26" s="26"/>
      <c r="J26" s="27"/>
      <c r="K26" s="28"/>
      <c r="L26" s="27"/>
      <c r="M26" s="27"/>
      <c r="N26" s="28"/>
      <c r="O26" s="26"/>
      <c r="P26" s="31"/>
      <c r="Q26" s="30"/>
      <c r="R26" s="24"/>
    </row>
    <row r="27" ht="12.75" customHeight="1">
      <c r="A27" s="21"/>
      <c r="B27" s="3"/>
      <c r="C27" s="3"/>
      <c r="D27" s="2"/>
      <c r="E27" s="32" t="s">
        <v>27</v>
      </c>
      <c r="F27" s="33">
        <f t="shared" ref="F27:P27" si="13">SUM(F21:F26)</f>
        <v>55952.07</v>
      </c>
      <c r="G27" s="34">
        <f t="shared" si="13"/>
        <v>55731.63</v>
      </c>
      <c r="H27" s="35">
        <f t="shared" si="13"/>
        <v>9306.975</v>
      </c>
      <c r="I27" s="33">
        <f t="shared" si="13"/>
        <v>55904.13</v>
      </c>
      <c r="J27" s="34">
        <f t="shared" si="13"/>
        <v>56197.26</v>
      </c>
      <c r="K27" s="35">
        <f t="shared" si="13"/>
        <v>9341.7825</v>
      </c>
      <c r="L27" s="34">
        <f t="shared" si="13"/>
        <v>56589.84</v>
      </c>
      <c r="M27" s="34">
        <f t="shared" si="13"/>
        <v>56638.92</v>
      </c>
      <c r="N27" s="35">
        <f t="shared" si="13"/>
        <v>9435.73</v>
      </c>
      <c r="O27" s="33">
        <f t="shared" si="13"/>
        <v>337013.85</v>
      </c>
      <c r="P27" s="36">
        <f t="shared" si="13"/>
        <v>28084.4875</v>
      </c>
      <c r="Q27" s="3"/>
      <c r="R27" s="3"/>
    </row>
    <row r="28" ht="12.75" customHeight="1">
      <c r="A28" s="21"/>
      <c r="B28" s="3"/>
      <c r="C28" s="3"/>
      <c r="D28" s="2"/>
      <c r="E28" s="32"/>
      <c r="F28" s="33"/>
      <c r="G28" s="34"/>
      <c r="H28" s="35"/>
      <c r="I28" s="33"/>
      <c r="J28" s="34"/>
      <c r="K28" s="35"/>
      <c r="L28" s="34"/>
      <c r="M28" s="34"/>
      <c r="N28" s="35"/>
      <c r="O28" s="33"/>
      <c r="P28" s="36"/>
      <c r="Q28" s="3"/>
      <c r="R28" s="3"/>
    </row>
    <row r="29" ht="12.75" customHeight="1">
      <c r="A29" s="14" t="s">
        <v>35</v>
      </c>
      <c r="B29" s="3"/>
      <c r="C29" s="3"/>
      <c r="D29" s="3"/>
      <c r="E29" s="16"/>
      <c r="F29" s="21"/>
      <c r="G29" s="3"/>
      <c r="H29" s="16"/>
      <c r="I29" s="21"/>
      <c r="J29" s="3"/>
      <c r="K29" s="16"/>
      <c r="L29" s="3"/>
      <c r="M29" s="3"/>
      <c r="N29" s="16"/>
      <c r="O29" s="21"/>
      <c r="P29" s="22"/>
      <c r="Q29" s="3"/>
      <c r="R29" s="3"/>
    </row>
    <row r="30" ht="12.75" customHeight="1">
      <c r="A30" s="21"/>
      <c r="B30" s="3"/>
      <c r="C30" s="3"/>
      <c r="D30" s="3"/>
      <c r="E30" s="16"/>
      <c r="F30" s="21"/>
      <c r="G30" s="3"/>
      <c r="H30" s="16"/>
      <c r="I30" s="21"/>
      <c r="J30" s="3"/>
      <c r="K30" s="16"/>
      <c r="L30" s="3"/>
      <c r="M30" s="3"/>
      <c r="N30" s="16"/>
      <c r="O30" s="21"/>
      <c r="P30" s="22"/>
      <c r="Q30" s="3"/>
      <c r="R30" s="3"/>
    </row>
    <row r="31" ht="12.75" customHeight="1">
      <c r="A31" s="23" t="s">
        <v>10</v>
      </c>
      <c r="B31" s="24" t="s">
        <v>11</v>
      </c>
      <c r="C31" s="25" t="s">
        <v>36</v>
      </c>
      <c r="D31" s="3"/>
      <c r="E31" s="16"/>
      <c r="F31" s="26">
        <f>6194.89+805.11</f>
        <v>7000</v>
      </c>
      <c r="G31" s="27">
        <v>7000.0</v>
      </c>
      <c r="H31" s="28">
        <f t="shared" ref="H31:H38" si="14">(F31+G31)/12</f>
        <v>1166.666667</v>
      </c>
      <c r="I31" s="26">
        <v>7000.0</v>
      </c>
      <c r="J31" s="27">
        <v>7050.32</v>
      </c>
      <c r="K31" s="28">
        <f t="shared" ref="K31:K38" si="15">(I31+J31)/12</f>
        <v>1170.86</v>
      </c>
      <c r="L31" s="27">
        <f>6780.02+270.3</f>
        <v>7050.32</v>
      </c>
      <c r="M31" s="27">
        <v>7050.32</v>
      </c>
      <c r="N31" s="28">
        <f t="shared" ref="N31:N38" si="16">(L31+M31)/12</f>
        <v>1175.053333</v>
      </c>
      <c r="O31" s="26">
        <f t="shared" ref="O31:O38" si="17">F31+G31+I31+J31+L31+M31</f>
        <v>42150.96</v>
      </c>
      <c r="P31" s="31">
        <f t="shared" ref="P31:P38" si="18">H31+K31+N31</f>
        <v>3512.58</v>
      </c>
      <c r="Q31" s="30"/>
      <c r="R31" s="24"/>
    </row>
    <row r="32" ht="12.75" customHeight="1">
      <c r="A32" s="23">
        <v>2.0</v>
      </c>
      <c r="B32" s="24" t="s">
        <v>11</v>
      </c>
      <c r="C32" s="25" t="s">
        <v>37</v>
      </c>
      <c r="D32" s="3"/>
      <c r="E32" s="16"/>
      <c r="F32" s="26">
        <f>4853.03+2146.96</f>
        <v>6999.99</v>
      </c>
      <c r="G32" s="27">
        <f>6731.63+268.37</f>
        <v>7000</v>
      </c>
      <c r="H32" s="28">
        <f t="shared" si="14"/>
        <v>1166.665833</v>
      </c>
      <c r="I32" s="26">
        <f>6463.26+536.74</f>
        <v>7000</v>
      </c>
      <c r="J32" s="27">
        <f>6343.56+824.43</f>
        <v>7167.99</v>
      </c>
      <c r="K32" s="28">
        <f t="shared" si="15"/>
        <v>1180.665833</v>
      </c>
      <c r="L32" s="27">
        <f>6618.37+549.62</f>
        <v>7167.99</v>
      </c>
      <c r="M32" s="27">
        <v>7168.0</v>
      </c>
      <c r="N32" s="28">
        <f t="shared" si="16"/>
        <v>1194.665833</v>
      </c>
      <c r="O32" s="26">
        <f t="shared" si="17"/>
        <v>42503.97</v>
      </c>
      <c r="P32" s="31">
        <f t="shared" si="18"/>
        <v>3541.9975</v>
      </c>
      <c r="Q32" s="30"/>
      <c r="R32" s="24"/>
    </row>
    <row r="33" ht="12.75" customHeight="1">
      <c r="A33" s="23">
        <v>3.0</v>
      </c>
      <c r="B33" s="24" t="s">
        <v>11</v>
      </c>
      <c r="C33" s="25" t="s">
        <v>38</v>
      </c>
      <c r="D33" s="3"/>
      <c r="E33" s="16"/>
      <c r="F33" s="26">
        <v>7000.0</v>
      </c>
      <c r="G33" s="27">
        <v>7000.0</v>
      </c>
      <c r="H33" s="28">
        <f t="shared" si="14"/>
        <v>1166.666667</v>
      </c>
      <c r="I33" s="26">
        <f>5926.52+1073.48</f>
        <v>7000</v>
      </c>
      <c r="J33" s="27">
        <f>6893.19+274.81</f>
        <v>7168</v>
      </c>
      <c r="K33" s="28">
        <f t="shared" si="15"/>
        <v>1180.666667</v>
      </c>
      <c r="L33" s="27">
        <v>7168.0</v>
      </c>
      <c r="M33" s="27">
        <f>7541.7+626.3</f>
        <v>8168</v>
      </c>
      <c r="N33" s="28">
        <f t="shared" si="16"/>
        <v>1278</v>
      </c>
      <c r="O33" s="26">
        <f t="shared" si="17"/>
        <v>43504</v>
      </c>
      <c r="P33" s="31">
        <f t="shared" si="18"/>
        <v>3625.333333</v>
      </c>
      <c r="Q33" s="30"/>
      <c r="R33" s="24"/>
    </row>
    <row r="34" ht="12.75" customHeight="1">
      <c r="A34" s="23">
        <v>4.0</v>
      </c>
      <c r="B34" s="24" t="s">
        <v>11</v>
      </c>
      <c r="C34" s="25" t="s">
        <v>39</v>
      </c>
      <c r="D34" s="3"/>
      <c r="E34" s="16"/>
      <c r="F34" s="26">
        <v>7000.0</v>
      </c>
      <c r="G34" s="27">
        <v>7000.0</v>
      </c>
      <c r="H34" s="28">
        <f t="shared" si="14"/>
        <v>1166.666667</v>
      </c>
      <c r="I34" s="26">
        <v>7000.0</v>
      </c>
      <c r="J34" s="27">
        <f>6068.75+1099.25</f>
        <v>7168</v>
      </c>
      <c r="K34" s="28">
        <f t="shared" si="15"/>
        <v>1180.666667</v>
      </c>
      <c r="L34" s="27">
        <f>6618.37+549.62+0.01</f>
        <v>7168</v>
      </c>
      <c r="M34" s="27">
        <f>6618.37+549.62</f>
        <v>7167.99</v>
      </c>
      <c r="N34" s="28">
        <f t="shared" si="16"/>
        <v>1194.665833</v>
      </c>
      <c r="O34" s="26">
        <f t="shared" si="17"/>
        <v>42503.99</v>
      </c>
      <c r="P34" s="31">
        <f t="shared" si="18"/>
        <v>3541.999167</v>
      </c>
      <c r="Q34" s="30"/>
      <c r="R34" s="24"/>
    </row>
    <row r="35" ht="12.75" customHeight="1">
      <c r="A35" s="23">
        <v>5.0</v>
      </c>
      <c r="B35" s="24" t="s">
        <v>11</v>
      </c>
      <c r="C35" s="25" t="s">
        <v>40</v>
      </c>
      <c r="D35" s="3"/>
      <c r="E35" s="16"/>
      <c r="F35" s="26">
        <v>7693.29</v>
      </c>
      <c r="G35" s="27">
        <v>8000.0</v>
      </c>
      <c r="H35" s="28">
        <f t="shared" si="14"/>
        <v>1307.774167</v>
      </c>
      <c r="I35" s="26">
        <v>8000.0</v>
      </c>
      <c r="J35" s="27">
        <f>7171.27+314.07</f>
        <v>7485.34</v>
      </c>
      <c r="K35" s="28">
        <f t="shared" si="15"/>
        <v>1290.445</v>
      </c>
      <c r="L35" s="27">
        <f>7563.86+628.14</f>
        <v>8192</v>
      </c>
      <c r="M35" s="27">
        <f>7171.27+628.14</f>
        <v>7799.41</v>
      </c>
      <c r="N35" s="28">
        <f t="shared" si="16"/>
        <v>1332.6175</v>
      </c>
      <c r="O35" s="26">
        <f t="shared" si="17"/>
        <v>47170.04</v>
      </c>
      <c r="P35" s="31">
        <f t="shared" si="18"/>
        <v>3930.836667</v>
      </c>
      <c r="Q35" s="30"/>
      <c r="R35" s="24"/>
    </row>
    <row r="36" ht="12.75" customHeight="1">
      <c r="A36" s="23">
        <v>6.0</v>
      </c>
      <c r="B36" s="24" t="s">
        <v>11</v>
      </c>
      <c r="C36" s="25" t="s">
        <v>41</v>
      </c>
      <c r="D36" s="3"/>
      <c r="E36" s="16"/>
      <c r="F36" s="26">
        <v>15000.0</v>
      </c>
      <c r="G36" s="27">
        <f>12699.68+2300.32</f>
        <v>15000</v>
      </c>
      <c r="H36" s="28">
        <f t="shared" si="14"/>
        <v>2500</v>
      </c>
      <c r="I36" s="26">
        <f>11549.52+3450.48</f>
        <v>15000</v>
      </c>
      <c r="J36" s="27">
        <f>13341.08+1752.84</f>
        <v>15093.92</v>
      </c>
      <c r="K36" s="28">
        <f t="shared" si="15"/>
        <v>2507.826667</v>
      </c>
      <c r="L36" s="27">
        <f>14071.43+1168.56+0.01</f>
        <v>15240</v>
      </c>
      <c r="M36" s="27">
        <v>15240.0</v>
      </c>
      <c r="N36" s="28">
        <f t="shared" si="16"/>
        <v>2540</v>
      </c>
      <c r="O36" s="26">
        <f t="shared" si="17"/>
        <v>90573.92</v>
      </c>
      <c r="P36" s="31">
        <f t="shared" si="18"/>
        <v>7547.826667</v>
      </c>
      <c r="Q36" s="30"/>
      <c r="R36" s="24"/>
    </row>
    <row r="37" ht="12.75" customHeight="1">
      <c r="A37" s="23">
        <v>7.0</v>
      </c>
      <c r="B37" s="24" t="s">
        <v>11</v>
      </c>
      <c r="C37" s="25" t="s">
        <v>42</v>
      </c>
      <c r="D37" s="3"/>
      <c r="E37" s="16"/>
      <c r="F37" s="26">
        <v>7000.0</v>
      </c>
      <c r="G37" s="27">
        <f>6463.26+536.74</f>
        <v>7000</v>
      </c>
      <c r="H37" s="28">
        <f t="shared" si="14"/>
        <v>1166.666667</v>
      </c>
      <c r="I37" s="26">
        <f>4853.03+2146.96+0.01</f>
        <v>7000</v>
      </c>
      <c r="J37" s="27">
        <v>7168.0</v>
      </c>
      <c r="K37" s="28">
        <f t="shared" si="15"/>
        <v>1180.666667</v>
      </c>
      <c r="L37" s="27">
        <f>6618.37+549.62</f>
        <v>7167.99</v>
      </c>
      <c r="M37" s="27">
        <f>6893.19+274.81</f>
        <v>7168</v>
      </c>
      <c r="N37" s="28">
        <f t="shared" si="16"/>
        <v>1194.665833</v>
      </c>
      <c r="O37" s="26">
        <f t="shared" si="17"/>
        <v>42503.99</v>
      </c>
      <c r="P37" s="31">
        <f t="shared" si="18"/>
        <v>3541.999167</v>
      </c>
      <c r="Q37" s="30"/>
      <c r="R37" s="24"/>
    </row>
    <row r="38" ht="12.75" customHeight="1">
      <c r="A38" s="23">
        <v>8.0</v>
      </c>
      <c r="B38" s="24" t="s">
        <v>11</v>
      </c>
      <c r="C38" s="25" t="s">
        <v>43</v>
      </c>
      <c r="D38" s="3"/>
      <c r="E38" s="16"/>
      <c r="F38" s="26">
        <v>7000.0</v>
      </c>
      <c r="G38" s="27">
        <v>7000.0</v>
      </c>
      <c r="H38" s="28">
        <f t="shared" si="14"/>
        <v>1166.666667</v>
      </c>
      <c r="I38" s="26">
        <v>7000.0</v>
      </c>
      <c r="J38" s="27">
        <f>6514.96+541.04</f>
        <v>7056</v>
      </c>
      <c r="K38" s="28">
        <f t="shared" si="15"/>
        <v>1171.333333</v>
      </c>
      <c r="L38" s="27">
        <f>6785.48+270.52</f>
        <v>7056</v>
      </c>
      <c r="M38" s="27">
        <f>6514.96+541.04</f>
        <v>7056</v>
      </c>
      <c r="N38" s="28">
        <f t="shared" si="16"/>
        <v>1176</v>
      </c>
      <c r="O38" s="26">
        <f t="shared" si="17"/>
        <v>42168</v>
      </c>
      <c r="P38" s="31">
        <f t="shared" si="18"/>
        <v>3514</v>
      </c>
      <c r="Q38" s="30"/>
      <c r="R38" s="24"/>
    </row>
    <row r="39" ht="12.75" customHeight="1">
      <c r="A39" s="21"/>
      <c r="B39" s="3"/>
      <c r="C39" s="3"/>
      <c r="D39" s="3"/>
      <c r="E39" s="16"/>
      <c r="F39" s="21"/>
      <c r="G39" s="3"/>
      <c r="H39" s="16"/>
      <c r="I39" s="21"/>
      <c r="J39" s="3"/>
      <c r="K39" s="16"/>
      <c r="L39" s="3"/>
      <c r="M39" s="3"/>
      <c r="N39" s="16"/>
      <c r="O39" s="26"/>
      <c r="P39" s="31"/>
      <c r="Q39" s="3"/>
      <c r="R39" s="3"/>
    </row>
    <row r="40" ht="12.75" customHeight="1">
      <c r="A40" s="21"/>
      <c r="B40" s="3"/>
      <c r="C40" s="3"/>
      <c r="D40" s="2"/>
      <c r="E40" s="32" t="s">
        <v>27</v>
      </c>
      <c r="F40" s="33">
        <f t="shared" ref="F40:N40" si="19">SUM(F31:F39)</f>
        <v>64693.28</v>
      </c>
      <c r="G40" s="33">
        <f t="shared" si="19"/>
        <v>65000</v>
      </c>
      <c r="H40" s="33">
        <f t="shared" si="19"/>
        <v>10807.77333</v>
      </c>
      <c r="I40" s="33">
        <f t="shared" si="19"/>
        <v>65000</v>
      </c>
      <c r="J40" s="33">
        <f t="shared" si="19"/>
        <v>65357.57</v>
      </c>
      <c r="K40" s="33">
        <f t="shared" si="19"/>
        <v>10863.13083</v>
      </c>
      <c r="L40" s="34">
        <f t="shared" si="19"/>
        <v>66210.3</v>
      </c>
      <c r="M40" s="34">
        <f t="shared" si="19"/>
        <v>66817.72</v>
      </c>
      <c r="N40" s="34">
        <f t="shared" si="19"/>
        <v>11085.66833</v>
      </c>
      <c r="O40" s="33">
        <f>SUM(O32:O39)</f>
        <v>350927.91</v>
      </c>
      <c r="P40" s="36">
        <f>SUM(P31:P39)</f>
        <v>32756.5725</v>
      </c>
      <c r="Q40" s="3"/>
      <c r="R40" s="3"/>
    </row>
    <row r="41" ht="12.75" customHeight="1">
      <c r="A41" s="21"/>
      <c r="B41" s="3"/>
      <c r="C41" s="3"/>
      <c r="D41" s="3"/>
      <c r="E41" s="39"/>
      <c r="F41" s="33"/>
      <c r="G41" s="34"/>
      <c r="H41" s="35"/>
      <c r="I41" s="33"/>
      <c r="J41" s="34"/>
      <c r="K41" s="35"/>
      <c r="L41" s="34"/>
      <c r="M41" s="34"/>
      <c r="N41" s="35"/>
      <c r="O41" s="33"/>
      <c r="P41" s="36"/>
      <c r="Q41" s="3"/>
      <c r="R41" s="3"/>
    </row>
    <row r="42" ht="12.75" customHeight="1">
      <c r="A42" s="14" t="s">
        <v>44</v>
      </c>
      <c r="B42" s="3"/>
      <c r="C42" s="3"/>
      <c r="D42" s="3"/>
      <c r="E42" s="16"/>
      <c r="F42" s="21"/>
      <c r="G42" s="3"/>
      <c r="H42" s="16"/>
      <c r="I42" s="21"/>
      <c r="J42" s="3"/>
      <c r="K42" s="16"/>
      <c r="L42" s="3"/>
      <c r="M42" s="3"/>
      <c r="N42" s="16"/>
      <c r="O42" s="21"/>
      <c r="P42" s="22"/>
      <c r="Q42" s="3"/>
      <c r="R42" s="3"/>
    </row>
    <row r="43" ht="12.75" customHeight="1">
      <c r="A43" s="21"/>
      <c r="B43" s="3"/>
      <c r="C43" s="3"/>
      <c r="D43" s="3"/>
      <c r="E43" s="16"/>
      <c r="F43" s="21"/>
      <c r="G43" s="3"/>
      <c r="H43" s="16"/>
      <c r="I43" s="21"/>
      <c r="J43" s="3"/>
      <c r="K43" s="16"/>
      <c r="L43" s="3"/>
      <c r="M43" s="3"/>
      <c r="N43" s="16"/>
      <c r="O43" s="21"/>
      <c r="P43" s="22"/>
      <c r="Q43" s="3"/>
      <c r="R43" s="3"/>
    </row>
    <row r="44" ht="12.75" customHeight="1">
      <c r="A44" s="23" t="s">
        <v>10</v>
      </c>
      <c r="B44" s="24" t="s">
        <v>11</v>
      </c>
      <c r="C44" s="25" t="s">
        <v>45</v>
      </c>
      <c r="D44" s="3"/>
      <c r="E44" s="16"/>
      <c r="F44" s="26">
        <v>14281.15</v>
      </c>
      <c r="G44" s="27">
        <v>15000.0</v>
      </c>
      <c r="H44" s="28">
        <f t="shared" ref="H44:H45" si="21">(F44+G44)/12</f>
        <v>2440.095833</v>
      </c>
      <c r="I44" s="26">
        <f>14784.34-0.03</f>
        <v>14784.31</v>
      </c>
      <c r="J44" s="27">
        <f>11263.89+4186.58+0.03</f>
        <v>15450.5</v>
      </c>
      <c r="K44" s="28">
        <f t="shared" ref="K44:K45" si="22">(I44+J44)/12</f>
        <v>2519.5675</v>
      </c>
      <c r="L44" s="27">
        <f t="shared" ref="L44:M44" si="20">14403.83+1196.17</f>
        <v>15600</v>
      </c>
      <c r="M44" s="27">
        <f t="shared" si="20"/>
        <v>15600</v>
      </c>
      <c r="N44" s="28">
        <f t="shared" ref="N44:N45" si="23">(L44+M44)/12</f>
        <v>2600</v>
      </c>
      <c r="O44" s="26">
        <f t="shared" ref="O44:O45" si="24">F44+G44+I44+J44+L44+M44</f>
        <v>90715.96</v>
      </c>
      <c r="P44" s="31">
        <f t="shared" ref="P44:P45" si="25">H44+K44+N44</f>
        <v>7559.663333</v>
      </c>
      <c r="Q44" s="3"/>
      <c r="R44" s="3"/>
    </row>
    <row r="45" ht="12.75" customHeight="1">
      <c r="A45" s="23" t="s">
        <v>13</v>
      </c>
      <c r="B45" s="24" t="s">
        <v>11</v>
      </c>
      <c r="C45" s="25" t="s">
        <v>46</v>
      </c>
      <c r="D45" s="3"/>
      <c r="E45" s="16"/>
      <c r="F45" s="26">
        <v>10000.0</v>
      </c>
      <c r="G45" s="27">
        <v>10000.0</v>
      </c>
      <c r="H45" s="28">
        <f t="shared" si="21"/>
        <v>1666.666667</v>
      </c>
      <c r="I45" s="26">
        <v>10000.0</v>
      </c>
      <c r="J45" s="27">
        <v>10320.0</v>
      </c>
      <c r="K45" s="28">
        <f t="shared" si="22"/>
        <v>1693.333333</v>
      </c>
      <c r="L45" s="27">
        <f>8737.38+1582.62</f>
        <v>10320</v>
      </c>
      <c r="M45" s="27">
        <v>10320.0</v>
      </c>
      <c r="N45" s="28">
        <f t="shared" si="23"/>
        <v>1720</v>
      </c>
      <c r="O45" s="26">
        <f t="shared" si="24"/>
        <v>60960</v>
      </c>
      <c r="P45" s="31">
        <f t="shared" si="25"/>
        <v>5080</v>
      </c>
      <c r="Q45" s="3"/>
      <c r="R45" s="3"/>
    </row>
    <row r="46" ht="12.75" customHeight="1">
      <c r="A46" s="23"/>
      <c r="B46" s="24"/>
      <c r="C46" s="38"/>
      <c r="D46" s="3"/>
      <c r="E46" s="16"/>
      <c r="F46" s="26"/>
      <c r="G46" s="27"/>
      <c r="H46" s="28"/>
      <c r="I46" s="26"/>
      <c r="J46" s="27"/>
      <c r="K46" s="28"/>
      <c r="L46" s="27"/>
      <c r="M46" s="27"/>
      <c r="N46" s="28"/>
      <c r="O46" s="26"/>
      <c r="P46" s="31"/>
      <c r="Q46" s="3"/>
      <c r="R46" s="3"/>
    </row>
    <row r="47" ht="12.75" customHeight="1">
      <c r="A47" s="23"/>
      <c r="B47" s="24"/>
      <c r="C47" s="3"/>
      <c r="D47" s="2"/>
      <c r="E47" s="32" t="s">
        <v>27</v>
      </c>
      <c r="F47" s="33">
        <f t="shared" ref="F47:P47" si="26">SUM(F44:F46)</f>
        <v>24281.15</v>
      </c>
      <c r="G47" s="34">
        <f t="shared" si="26"/>
        <v>25000</v>
      </c>
      <c r="H47" s="35">
        <f t="shared" si="26"/>
        <v>4106.7625</v>
      </c>
      <c r="I47" s="33">
        <f t="shared" si="26"/>
        <v>24784.31</v>
      </c>
      <c r="J47" s="34">
        <f t="shared" si="26"/>
        <v>25770.5</v>
      </c>
      <c r="K47" s="35">
        <f t="shared" si="26"/>
        <v>4212.900833</v>
      </c>
      <c r="L47" s="34">
        <f t="shared" si="26"/>
        <v>25920</v>
      </c>
      <c r="M47" s="34">
        <f t="shared" si="26"/>
        <v>25920</v>
      </c>
      <c r="N47" s="35">
        <f t="shared" si="26"/>
        <v>4320</v>
      </c>
      <c r="O47" s="33">
        <f t="shared" si="26"/>
        <v>151675.96</v>
      </c>
      <c r="P47" s="36">
        <f t="shared" si="26"/>
        <v>12639.66333</v>
      </c>
      <c r="Q47" s="3"/>
      <c r="R47" s="3"/>
    </row>
    <row r="48" ht="12.75" customHeight="1">
      <c r="A48" s="21"/>
      <c r="B48" s="3"/>
      <c r="C48" s="3"/>
      <c r="D48" s="3"/>
      <c r="E48" s="16"/>
      <c r="F48" s="21"/>
      <c r="G48" s="3"/>
      <c r="H48" s="16"/>
      <c r="I48" s="21"/>
      <c r="J48" s="3"/>
      <c r="K48" s="16"/>
      <c r="L48" s="3"/>
      <c r="M48" s="3"/>
      <c r="N48" s="16"/>
      <c r="O48" s="21"/>
      <c r="P48" s="22"/>
      <c r="Q48" s="3"/>
      <c r="R48" s="3"/>
    </row>
    <row r="49" ht="12.75" customHeight="1">
      <c r="A49" s="14" t="s">
        <v>47</v>
      </c>
      <c r="B49" s="3"/>
      <c r="C49" s="3"/>
      <c r="D49" s="3"/>
      <c r="E49" s="16"/>
      <c r="F49" s="21"/>
      <c r="G49" s="3"/>
      <c r="H49" s="16"/>
      <c r="I49" s="21"/>
      <c r="J49" s="3"/>
      <c r="K49" s="16"/>
      <c r="L49" s="3"/>
      <c r="M49" s="3"/>
      <c r="N49" s="16"/>
      <c r="O49" s="21"/>
      <c r="P49" s="22"/>
      <c r="Q49" s="3"/>
      <c r="R49" s="3"/>
    </row>
    <row r="50" ht="12.75" customHeight="1">
      <c r="A50" s="21"/>
      <c r="B50" s="3"/>
      <c r="C50" s="3"/>
      <c r="D50" s="3"/>
      <c r="E50" s="16"/>
      <c r="F50" s="21"/>
      <c r="G50" s="3"/>
      <c r="H50" s="16"/>
      <c r="I50" s="21"/>
      <c r="J50" s="3"/>
      <c r="K50" s="16"/>
      <c r="L50" s="3"/>
      <c r="M50" s="3"/>
      <c r="N50" s="16"/>
      <c r="O50" s="21"/>
      <c r="P50" s="22"/>
      <c r="Q50" s="3"/>
      <c r="R50" s="3"/>
    </row>
    <row r="51" ht="12.75" customHeight="1">
      <c r="A51" s="23" t="s">
        <v>10</v>
      </c>
      <c r="B51" s="24" t="s">
        <v>11</v>
      </c>
      <c r="C51" s="25" t="s">
        <v>48</v>
      </c>
      <c r="D51" s="3"/>
      <c r="E51" s="16"/>
      <c r="F51" s="26">
        <v>6290.33</v>
      </c>
      <c r="G51" s="27">
        <f>6029.08+241.16</f>
        <v>6270.24</v>
      </c>
      <c r="H51" s="28">
        <f t="shared" ref="H51:H55" si="28">(F51+G51)/12</f>
        <v>1046.714167</v>
      </c>
      <c r="I51" s="26">
        <f>4843.35+1446.98</f>
        <v>6290.33</v>
      </c>
      <c r="J51" s="27">
        <v>6340.66</v>
      </c>
      <c r="K51" s="28">
        <f t="shared" ref="K51:K55" si="29">(I51+J51)/12</f>
        <v>1052.5825</v>
      </c>
      <c r="L51" s="27">
        <f t="shared" ref="L51:M51" si="27">6097.57+243.09</f>
        <v>6340.66</v>
      </c>
      <c r="M51" s="27">
        <f t="shared" si="27"/>
        <v>6340.66</v>
      </c>
      <c r="N51" s="28">
        <f t="shared" ref="N51:N55" si="30">(L51+M51)/12</f>
        <v>1056.776667</v>
      </c>
      <c r="O51" s="26">
        <f t="shared" ref="O51:O55" si="31">F51+G51+I51+J51+L51+M51</f>
        <v>37872.88</v>
      </c>
      <c r="P51" s="31">
        <f t="shared" ref="P51:P55" si="32">H51+K51+N51</f>
        <v>3156.073333</v>
      </c>
      <c r="Q51" s="30"/>
      <c r="R51" s="24"/>
    </row>
    <row r="52" ht="12.75" customHeight="1">
      <c r="A52" s="23" t="s">
        <v>13</v>
      </c>
      <c r="B52" s="24" t="s">
        <v>11</v>
      </c>
      <c r="C52" s="25" t="s">
        <v>49</v>
      </c>
      <c r="D52" s="3"/>
      <c r="E52" s="16"/>
      <c r="F52" s="26">
        <v>7000.0</v>
      </c>
      <c r="G52" s="27">
        <v>7000.0</v>
      </c>
      <c r="H52" s="28">
        <f t="shared" si="28"/>
        <v>1166.666667</v>
      </c>
      <c r="I52" s="26">
        <v>7000.0</v>
      </c>
      <c r="J52" s="27">
        <f>5839.21+1384.79</f>
        <v>7224</v>
      </c>
      <c r="K52" s="28">
        <f t="shared" si="29"/>
        <v>1185.333333</v>
      </c>
      <c r="L52" s="27">
        <f>6358.5+830.88</f>
        <v>7189.38</v>
      </c>
      <c r="M52" s="27">
        <f>5839.21+1384.79</f>
        <v>7224</v>
      </c>
      <c r="N52" s="28">
        <f t="shared" si="30"/>
        <v>1201.115</v>
      </c>
      <c r="O52" s="26">
        <f t="shared" si="31"/>
        <v>42637.38</v>
      </c>
      <c r="P52" s="31">
        <f t="shared" si="32"/>
        <v>3553.115</v>
      </c>
      <c r="Q52" s="30"/>
      <c r="R52" s="24"/>
    </row>
    <row r="53" ht="12.75" customHeight="1">
      <c r="A53" s="23" t="s">
        <v>15</v>
      </c>
      <c r="B53" s="24" t="s">
        <v>11</v>
      </c>
      <c r="C53" s="25" t="s">
        <v>50</v>
      </c>
      <c r="D53" s="3"/>
      <c r="E53" s="16"/>
      <c r="F53" s="26">
        <f>5926.52+1073.48</f>
        <v>7000</v>
      </c>
      <c r="G53" s="27">
        <v>7000.0</v>
      </c>
      <c r="H53" s="28">
        <f t="shared" si="28"/>
        <v>1166.666667</v>
      </c>
      <c r="I53" s="26">
        <f>6463.26+536.74</f>
        <v>7000</v>
      </c>
      <c r="J53" s="27">
        <f>6893.19+274.81</f>
        <v>7168</v>
      </c>
      <c r="K53" s="28">
        <f t="shared" si="29"/>
        <v>1180.666667</v>
      </c>
      <c r="L53" s="27">
        <f>6618.37+549.62+0.01</f>
        <v>7168</v>
      </c>
      <c r="M53" s="27">
        <f>6893.19+274.81</f>
        <v>7168</v>
      </c>
      <c r="N53" s="28">
        <f t="shared" si="30"/>
        <v>1194.666667</v>
      </c>
      <c r="O53" s="26">
        <f t="shared" si="31"/>
        <v>42504</v>
      </c>
      <c r="P53" s="31">
        <f t="shared" si="32"/>
        <v>3542</v>
      </c>
      <c r="Q53" s="30"/>
      <c r="R53" s="24"/>
    </row>
    <row r="54" ht="12.75" customHeight="1">
      <c r="A54" s="23" t="s">
        <v>17</v>
      </c>
      <c r="B54" s="24" t="s">
        <v>11</v>
      </c>
      <c r="C54" s="25" t="s">
        <v>51</v>
      </c>
      <c r="D54" s="3"/>
      <c r="E54" s="16"/>
      <c r="F54" s="26">
        <v>7000.0</v>
      </c>
      <c r="G54" s="27">
        <f>6463.26+536.74</f>
        <v>7000</v>
      </c>
      <c r="H54" s="28">
        <f t="shared" si="28"/>
        <v>1166.666667</v>
      </c>
      <c r="I54" s="26">
        <f>5658.14+1341.85</f>
        <v>6999.99</v>
      </c>
      <c r="J54" s="27">
        <f>6618.37+549.62</f>
        <v>7167.99</v>
      </c>
      <c r="K54" s="28">
        <f t="shared" si="29"/>
        <v>1180.665</v>
      </c>
      <c r="L54" s="27">
        <v>7168.0</v>
      </c>
      <c r="M54" s="27">
        <v>7168.0</v>
      </c>
      <c r="N54" s="28">
        <f t="shared" si="30"/>
        <v>1194.666667</v>
      </c>
      <c r="O54" s="26">
        <f t="shared" si="31"/>
        <v>42503.98</v>
      </c>
      <c r="P54" s="31">
        <f t="shared" si="32"/>
        <v>3541.998333</v>
      </c>
      <c r="Q54" s="30"/>
      <c r="R54" s="24"/>
    </row>
    <row r="55" ht="12.75" customHeight="1">
      <c r="A55" s="23" t="s">
        <v>19</v>
      </c>
      <c r="B55" s="24" t="s">
        <v>11</v>
      </c>
      <c r="C55" s="25" t="s">
        <v>52</v>
      </c>
      <c r="D55" s="3"/>
      <c r="E55" s="16"/>
      <c r="F55" s="26">
        <v>6079.32</v>
      </c>
      <c r="G55" s="27">
        <v>6290.33</v>
      </c>
      <c r="H55" s="28">
        <f t="shared" si="28"/>
        <v>1030.804167</v>
      </c>
      <c r="I55" s="26">
        <f>5808.01+482.33</f>
        <v>6290.34</v>
      </c>
      <c r="J55" s="27">
        <f>5700.45+740.85</f>
        <v>6441.3</v>
      </c>
      <c r="K55" s="28">
        <f t="shared" si="29"/>
        <v>1060.97</v>
      </c>
      <c r="L55" s="27">
        <f t="shared" ref="L55:M55" si="33">5947.4+493.9</f>
        <v>6441.3</v>
      </c>
      <c r="M55" s="27">
        <f t="shared" si="33"/>
        <v>6441.3</v>
      </c>
      <c r="N55" s="28">
        <f t="shared" si="30"/>
        <v>1073.55</v>
      </c>
      <c r="O55" s="26">
        <f t="shared" si="31"/>
        <v>37983.89</v>
      </c>
      <c r="P55" s="31">
        <f t="shared" si="32"/>
        <v>3165.324167</v>
      </c>
      <c r="Q55" s="30"/>
      <c r="R55" s="24"/>
    </row>
    <row r="56" ht="12.75" customHeight="1">
      <c r="A56" s="23"/>
      <c r="B56" s="3"/>
      <c r="C56" s="3"/>
      <c r="D56" s="3"/>
      <c r="E56" s="16"/>
      <c r="F56" s="21"/>
      <c r="G56" s="3"/>
      <c r="H56" s="16"/>
      <c r="I56" s="21"/>
      <c r="J56" s="3"/>
      <c r="K56" s="16"/>
      <c r="L56" s="3"/>
      <c r="M56" s="3"/>
      <c r="N56" s="16"/>
      <c r="O56" s="26"/>
      <c r="P56" s="31"/>
      <c r="Q56" s="3"/>
      <c r="R56" s="3"/>
    </row>
    <row r="57" ht="12.75" customHeight="1">
      <c r="A57" s="21"/>
      <c r="B57" s="3"/>
      <c r="C57" s="3"/>
      <c r="D57" s="2"/>
      <c r="E57" s="32" t="s">
        <v>27</v>
      </c>
      <c r="F57" s="33">
        <f t="shared" ref="F57:P57" si="34">SUM(F51:F56)</f>
        <v>33369.65</v>
      </c>
      <c r="G57" s="34">
        <f t="shared" si="34"/>
        <v>33560.57</v>
      </c>
      <c r="H57" s="35">
        <f t="shared" si="34"/>
        <v>5577.518333</v>
      </c>
      <c r="I57" s="33">
        <f t="shared" si="34"/>
        <v>33580.66</v>
      </c>
      <c r="J57" s="34">
        <f t="shared" si="34"/>
        <v>34341.95</v>
      </c>
      <c r="K57" s="35">
        <f t="shared" si="34"/>
        <v>5660.2175</v>
      </c>
      <c r="L57" s="34">
        <f t="shared" si="34"/>
        <v>34307.34</v>
      </c>
      <c r="M57" s="34">
        <f t="shared" si="34"/>
        <v>34341.96</v>
      </c>
      <c r="N57" s="35">
        <f t="shared" si="34"/>
        <v>5720.775</v>
      </c>
      <c r="O57" s="33">
        <f t="shared" si="34"/>
        <v>203502.13</v>
      </c>
      <c r="P57" s="36">
        <f t="shared" si="34"/>
        <v>16958.51083</v>
      </c>
      <c r="Q57" s="3"/>
      <c r="R57" s="3"/>
    </row>
    <row r="58" ht="12.75" customHeight="1">
      <c r="A58" s="21"/>
      <c r="B58" s="3"/>
      <c r="C58" s="3"/>
      <c r="D58" s="2"/>
      <c r="E58" s="32"/>
      <c r="F58" s="33"/>
      <c r="G58" s="34"/>
      <c r="H58" s="35"/>
      <c r="I58" s="33"/>
      <c r="J58" s="34"/>
      <c r="K58" s="35"/>
      <c r="L58" s="34"/>
      <c r="M58" s="34"/>
      <c r="N58" s="35"/>
      <c r="O58" s="33"/>
      <c r="P58" s="36"/>
      <c r="Q58" s="3"/>
      <c r="R58" s="3"/>
    </row>
    <row r="59" ht="13.5" customHeight="1">
      <c r="A59" s="21"/>
      <c r="B59" s="3"/>
      <c r="C59" s="3"/>
      <c r="D59" s="3"/>
      <c r="E59" s="16"/>
      <c r="F59" s="21"/>
      <c r="G59" s="3"/>
      <c r="H59" s="16"/>
      <c r="I59" s="21"/>
      <c r="J59" s="3"/>
      <c r="K59" s="16"/>
      <c r="L59" s="3"/>
      <c r="M59" s="3"/>
      <c r="N59" s="16"/>
      <c r="O59" s="21"/>
      <c r="P59" s="22"/>
      <c r="Q59" s="3"/>
      <c r="R59" s="3"/>
    </row>
    <row r="60" ht="12.75" customHeight="1">
      <c r="A60" s="40" t="s">
        <v>53</v>
      </c>
      <c r="B60" s="3"/>
      <c r="C60" s="3"/>
      <c r="D60" s="3"/>
      <c r="E60" s="16"/>
      <c r="F60" s="21"/>
      <c r="G60" s="3"/>
      <c r="H60" s="16"/>
      <c r="I60" s="21"/>
      <c r="J60" s="3"/>
      <c r="K60" s="16"/>
      <c r="L60" s="3"/>
      <c r="M60" s="3"/>
      <c r="N60" s="16"/>
      <c r="O60" s="21"/>
      <c r="P60" s="22"/>
      <c r="Q60" s="3"/>
      <c r="R60" s="3"/>
    </row>
    <row r="61" ht="12.75" customHeight="1">
      <c r="A61" s="21"/>
      <c r="B61" s="3"/>
      <c r="C61" s="3"/>
      <c r="D61" s="3"/>
      <c r="E61" s="16"/>
      <c r="F61" s="21"/>
      <c r="G61" s="3"/>
      <c r="H61" s="16"/>
      <c r="I61" s="21"/>
      <c r="J61" s="3"/>
      <c r="K61" s="16"/>
      <c r="L61" s="3"/>
      <c r="M61" s="3"/>
      <c r="N61" s="16"/>
      <c r="O61" s="21"/>
      <c r="P61" s="22"/>
      <c r="Q61" s="3"/>
      <c r="R61" s="3"/>
    </row>
    <row r="62" ht="12.75" customHeight="1">
      <c r="A62" s="23" t="s">
        <v>10</v>
      </c>
      <c r="B62" s="24" t="s">
        <v>11</v>
      </c>
      <c r="C62" s="25" t="s">
        <v>54</v>
      </c>
      <c r="D62" s="3"/>
      <c r="E62" s="16"/>
      <c r="F62" s="26">
        <f>6924.92+575.08</f>
        <v>7500</v>
      </c>
      <c r="G62" s="27">
        <f>5055.91+2012.78-0.05</f>
        <v>7068.64</v>
      </c>
      <c r="H62" s="28">
        <f t="shared" ref="H62:H69" si="35">(F62+G62)/12</f>
        <v>1214.053333</v>
      </c>
      <c r="I62" s="26">
        <f>6349.84+1150.16</f>
        <v>7500</v>
      </c>
      <c r="J62" s="27">
        <f>6980.32+579.68</f>
        <v>7560</v>
      </c>
      <c r="K62" s="28">
        <f t="shared" ref="K62:K69" si="36">(I62+J62)/12</f>
        <v>1255</v>
      </c>
      <c r="L62" s="27">
        <v>7487.54</v>
      </c>
      <c r="M62" s="27">
        <f>6400.64+1159.36</f>
        <v>7560</v>
      </c>
      <c r="N62" s="28">
        <f t="shared" ref="N62:N69" si="37">(L62+M62)/12</f>
        <v>1253.961667</v>
      </c>
      <c r="O62" s="26">
        <f t="shared" ref="O62:O69" si="38">F62+G62+I62+J62+L62+M62</f>
        <v>44676.18</v>
      </c>
      <c r="P62" s="31">
        <f t="shared" ref="P62:P69" si="39">H62+K62+N62</f>
        <v>3723.015</v>
      </c>
      <c r="Q62" s="30"/>
      <c r="R62" s="24"/>
    </row>
    <row r="63" ht="12.75" customHeight="1">
      <c r="A63" s="23" t="s">
        <v>13</v>
      </c>
      <c r="B63" s="24" t="s">
        <v>11</v>
      </c>
      <c r="C63" s="25" t="s">
        <v>55</v>
      </c>
      <c r="D63" s="3"/>
      <c r="E63" s="16"/>
      <c r="F63" s="26">
        <f>6466.45+1533.55</f>
        <v>8000</v>
      </c>
      <c r="G63" s="27">
        <f>7079.87+920.13</f>
        <v>8000</v>
      </c>
      <c r="H63" s="28">
        <f t="shared" si="35"/>
        <v>1333.333333</v>
      </c>
      <c r="I63" s="26">
        <v>8000.0</v>
      </c>
      <c r="J63" s="27">
        <v>8064.0</v>
      </c>
      <c r="K63" s="28">
        <f t="shared" si="36"/>
        <v>1338.666667</v>
      </c>
      <c r="L63" s="27">
        <f>7445.67+618.33</f>
        <v>8064</v>
      </c>
      <c r="M63" s="27">
        <v>8064.0</v>
      </c>
      <c r="N63" s="28">
        <f t="shared" si="37"/>
        <v>1344</v>
      </c>
      <c r="O63" s="26">
        <f t="shared" si="38"/>
        <v>48192</v>
      </c>
      <c r="P63" s="31">
        <f t="shared" si="39"/>
        <v>4016</v>
      </c>
      <c r="Q63" s="30"/>
      <c r="R63" s="24"/>
    </row>
    <row r="64" ht="12.75" customHeight="1">
      <c r="A64" s="23" t="s">
        <v>15</v>
      </c>
      <c r="B64" s="24" t="s">
        <v>11</v>
      </c>
      <c r="C64" s="25" t="s">
        <v>56</v>
      </c>
      <c r="D64" s="3"/>
      <c r="E64" s="16"/>
      <c r="F64" s="26">
        <f>6024.44+500.3</f>
        <v>6524.74</v>
      </c>
      <c r="G64" s="27">
        <f>5273.99+1250.75</f>
        <v>6524.74</v>
      </c>
      <c r="H64" s="28">
        <f t="shared" si="35"/>
        <v>1087.456667</v>
      </c>
      <c r="I64" s="26">
        <f t="shared" ref="I64:J64" si="40">6024.44+500.3</f>
        <v>6524.74</v>
      </c>
      <c r="J64" s="27">
        <f t="shared" si="40"/>
        <v>6524.74</v>
      </c>
      <c r="K64" s="28">
        <f t="shared" si="36"/>
        <v>1087.456667</v>
      </c>
      <c r="L64" s="27">
        <v>6524.74</v>
      </c>
      <c r="M64" s="27">
        <f>6024.44+500.3</f>
        <v>6524.74</v>
      </c>
      <c r="N64" s="28">
        <f t="shared" si="37"/>
        <v>1087.456667</v>
      </c>
      <c r="O64" s="26">
        <f t="shared" si="38"/>
        <v>39148.44</v>
      </c>
      <c r="P64" s="31">
        <f t="shared" si="39"/>
        <v>3262.37</v>
      </c>
      <c r="Q64" s="30"/>
      <c r="R64" s="24"/>
    </row>
    <row r="65" ht="12.75" customHeight="1">
      <c r="A65" s="23" t="s">
        <v>17</v>
      </c>
      <c r="B65" s="24" t="s">
        <v>11</v>
      </c>
      <c r="C65" s="25" t="s">
        <v>57</v>
      </c>
      <c r="D65" s="3"/>
      <c r="E65" s="16"/>
      <c r="F65" s="26">
        <v>6524.74</v>
      </c>
      <c r="G65" s="27">
        <f>6024.44+500.3</f>
        <v>6524.74</v>
      </c>
      <c r="H65" s="28">
        <f t="shared" si="35"/>
        <v>1087.456667</v>
      </c>
      <c r="I65" s="26">
        <f>6024.44+500.3</f>
        <v>6524.74</v>
      </c>
      <c r="J65" s="27">
        <f>5524.14+1000.6</f>
        <v>6524.74</v>
      </c>
      <c r="K65" s="28">
        <f t="shared" si="36"/>
        <v>1087.456667</v>
      </c>
      <c r="L65" s="27">
        <f>6274.59+250.15</f>
        <v>6524.74</v>
      </c>
      <c r="M65" s="27">
        <v>6524.74</v>
      </c>
      <c r="N65" s="28">
        <f t="shared" si="37"/>
        <v>1087.456667</v>
      </c>
      <c r="O65" s="26">
        <f t="shared" si="38"/>
        <v>39148.44</v>
      </c>
      <c r="P65" s="31">
        <f t="shared" si="39"/>
        <v>3262.37</v>
      </c>
      <c r="Q65" s="30"/>
      <c r="R65" s="24"/>
    </row>
    <row r="66" ht="12.75" customHeight="1">
      <c r="A66" s="23" t="s">
        <v>19</v>
      </c>
      <c r="B66" s="24"/>
      <c r="C66" s="25" t="s">
        <v>58</v>
      </c>
      <c r="D66" s="3"/>
      <c r="E66" s="16"/>
      <c r="F66" s="26">
        <v>6024.44</v>
      </c>
      <c r="G66" s="27">
        <v>6024.44</v>
      </c>
      <c r="H66" s="28">
        <f t="shared" si="35"/>
        <v>1004.073333</v>
      </c>
      <c r="I66" s="26">
        <v>6524.74</v>
      </c>
      <c r="J66" s="27">
        <f>6274.59+250.15</f>
        <v>6524.74</v>
      </c>
      <c r="K66" s="28">
        <f t="shared" si="36"/>
        <v>1087.456667</v>
      </c>
      <c r="L66" s="27">
        <f>4773.69+1751.05</f>
        <v>6524.74</v>
      </c>
      <c r="M66" s="27">
        <f>1021.44+2001.2</f>
        <v>3022.64</v>
      </c>
      <c r="N66" s="28">
        <f t="shared" si="37"/>
        <v>795.615</v>
      </c>
      <c r="O66" s="26">
        <f t="shared" si="38"/>
        <v>34645.74</v>
      </c>
      <c r="P66" s="31">
        <f t="shared" si="39"/>
        <v>2887.145</v>
      </c>
      <c r="Q66" s="30"/>
      <c r="R66" s="24"/>
    </row>
    <row r="67" ht="12.75" customHeight="1">
      <c r="A67" s="23" t="s">
        <v>21</v>
      </c>
      <c r="B67" s="24"/>
      <c r="C67" s="25" t="s">
        <v>59</v>
      </c>
      <c r="D67" s="3"/>
      <c r="E67" s="16"/>
      <c r="F67" s="26">
        <f t="shared" ref="F67:G67" si="41">5325.68+964.65</f>
        <v>6290.33</v>
      </c>
      <c r="G67" s="27">
        <f t="shared" si="41"/>
        <v>6290.33</v>
      </c>
      <c r="H67" s="28">
        <f t="shared" si="35"/>
        <v>1048.388333</v>
      </c>
      <c r="I67" s="26">
        <f>6049.17+241.16</f>
        <v>6290.33</v>
      </c>
      <c r="J67" s="27">
        <f>6194.35+246.95</f>
        <v>6441.3</v>
      </c>
      <c r="K67" s="28">
        <f t="shared" si="36"/>
        <v>1060.969167</v>
      </c>
      <c r="L67" s="27">
        <f>5947.4+493.9</f>
        <v>6441.3</v>
      </c>
      <c r="M67" s="27">
        <v>6441.3</v>
      </c>
      <c r="N67" s="28">
        <f t="shared" si="37"/>
        <v>1073.55</v>
      </c>
      <c r="O67" s="26">
        <f t="shared" si="38"/>
        <v>38194.89</v>
      </c>
      <c r="P67" s="31">
        <f t="shared" si="39"/>
        <v>3182.9075</v>
      </c>
      <c r="Q67" s="30"/>
      <c r="R67" s="24"/>
    </row>
    <row r="68" ht="12.75" customHeight="1">
      <c r="A68" s="23" t="s">
        <v>23</v>
      </c>
      <c r="B68" s="24" t="s">
        <v>11</v>
      </c>
      <c r="C68" s="25" t="s">
        <v>60</v>
      </c>
      <c r="D68" s="3"/>
      <c r="E68" s="16"/>
      <c r="F68" s="26">
        <f>6274.59+250.15</f>
        <v>6524.74</v>
      </c>
      <c r="G68" s="27">
        <f>5023.84+1500.9</f>
        <v>6524.74</v>
      </c>
      <c r="H68" s="28">
        <f t="shared" si="35"/>
        <v>1087.456667</v>
      </c>
      <c r="I68" s="26">
        <f>5524.14+1000.6</f>
        <v>6524.74</v>
      </c>
      <c r="J68" s="27">
        <v>6524.74</v>
      </c>
      <c r="K68" s="28">
        <f t="shared" si="36"/>
        <v>1087.456667</v>
      </c>
      <c r="L68" s="27">
        <f>5774.27+750.45</f>
        <v>6524.72</v>
      </c>
      <c r="M68" s="27">
        <f>5774.29+750.45</f>
        <v>6524.74</v>
      </c>
      <c r="N68" s="28">
        <f t="shared" si="37"/>
        <v>1087.455</v>
      </c>
      <c r="O68" s="26">
        <f t="shared" si="38"/>
        <v>39148.42</v>
      </c>
      <c r="P68" s="31">
        <f t="shared" si="39"/>
        <v>3262.368333</v>
      </c>
      <c r="Q68" s="30"/>
      <c r="R68" s="24"/>
    </row>
    <row r="69" ht="12.75" customHeight="1">
      <c r="A69" s="23" t="s">
        <v>25</v>
      </c>
      <c r="B69" s="24"/>
      <c r="C69" s="25" t="s">
        <v>61</v>
      </c>
      <c r="D69" s="3"/>
      <c r="E69" s="16"/>
      <c r="F69" s="26"/>
      <c r="G69" s="27"/>
      <c r="H69" s="28">
        <f t="shared" si="35"/>
        <v>0</v>
      </c>
      <c r="I69" s="26"/>
      <c r="J69" s="27"/>
      <c r="K69" s="28">
        <f t="shared" si="36"/>
        <v>0</v>
      </c>
      <c r="L69" s="27"/>
      <c r="M69" s="27">
        <v>6253.0</v>
      </c>
      <c r="N69" s="28">
        <f t="shared" si="37"/>
        <v>521.0833333</v>
      </c>
      <c r="O69" s="26">
        <f t="shared" si="38"/>
        <v>6253</v>
      </c>
      <c r="P69" s="31">
        <f t="shared" si="39"/>
        <v>521.0833333</v>
      </c>
      <c r="Q69" s="30"/>
      <c r="R69" s="24"/>
    </row>
    <row r="70" ht="12.75" customHeight="1">
      <c r="A70" s="23"/>
      <c r="B70" s="3"/>
      <c r="C70" s="3"/>
      <c r="D70" s="3"/>
      <c r="E70" s="16"/>
      <c r="F70" s="21"/>
      <c r="G70" s="3"/>
      <c r="H70" s="16"/>
      <c r="I70" s="21"/>
      <c r="J70" s="3"/>
      <c r="K70" s="16"/>
      <c r="L70" s="3"/>
      <c r="M70" s="3"/>
      <c r="N70" s="16"/>
      <c r="O70" s="26"/>
      <c r="P70" s="31"/>
      <c r="Q70" s="3"/>
      <c r="R70" s="3"/>
    </row>
    <row r="71" ht="12.75" customHeight="1">
      <c r="A71" s="21"/>
      <c r="B71" s="3"/>
      <c r="C71" s="3"/>
      <c r="D71" s="2"/>
      <c r="E71" s="32" t="s">
        <v>27</v>
      </c>
      <c r="F71" s="33">
        <f t="shared" ref="F71:P71" si="42">SUM(F62:F70)</f>
        <v>47388.99</v>
      </c>
      <c r="G71" s="34">
        <f t="shared" si="42"/>
        <v>46957.63</v>
      </c>
      <c r="H71" s="35">
        <f t="shared" si="42"/>
        <v>7862.218333</v>
      </c>
      <c r="I71" s="33">
        <f t="shared" si="42"/>
        <v>47889.29</v>
      </c>
      <c r="J71" s="34">
        <f t="shared" si="42"/>
        <v>48164.26</v>
      </c>
      <c r="K71" s="35">
        <f t="shared" si="42"/>
        <v>8004.4625</v>
      </c>
      <c r="L71" s="34">
        <f t="shared" si="42"/>
        <v>48091.78</v>
      </c>
      <c r="M71" s="34">
        <f t="shared" si="42"/>
        <v>50915.16</v>
      </c>
      <c r="N71" s="35">
        <f t="shared" si="42"/>
        <v>8250.578333</v>
      </c>
      <c r="O71" s="33">
        <f t="shared" si="42"/>
        <v>289407.11</v>
      </c>
      <c r="P71" s="36">
        <f t="shared" si="42"/>
        <v>24117.25917</v>
      </c>
      <c r="Q71" s="3"/>
      <c r="R71" s="3"/>
    </row>
    <row r="72" ht="12.75" customHeight="1">
      <c r="A72" s="21"/>
      <c r="B72" s="3"/>
      <c r="C72" s="3"/>
      <c r="D72" s="2"/>
      <c r="E72" s="32"/>
      <c r="F72" s="33"/>
      <c r="G72" s="34"/>
      <c r="H72" s="35"/>
      <c r="I72" s="33"/>
      <c r="J72" s="34"/>
      <c r="K72" s="35"/>
      <c r="L72" s="34"/>
      <c r="M72" s="34"/>
      <c r="N72" s="35"/>
      <c r="O72" s="33"/>
      <c r="P72" s="36"/>
      <c r="Q72" s="3"/>
      <c r="R72" s="3"/>
    </row>
    <row r="73" ht="12.75" customHeight="1">
      <c r="A73" s="21"/>
      <c r="B73" s="3"/>
      <c r="C73" s="3"/>
      <c r="D73" s="3"/>
      <c r="E73" s="16"/>
      <c r="F73" s="21"/>
      <c r="G73" s="3"/>
      <c r="H73" s="16"/>
      <c r="I73" s="21"/>
      <c r="J73" s="3"/>
      <c r="K73" s="16"/>
      <c r="L73" s="3"/>
      <c r="M73" s="3"/>
      <c r="N73" s="16"/>
      <c r="O73" s="21"/>
      <c r="P73" s="22"/>
      <c r="Q73" s="3"/>
      <c r="R73" s="3"/>
    </row>
    <row r="74" ht="12.75" customHeight="1">
      <c r="A74" s="14" t="s">
        <v>62</v>
      </c>
      <c r="B74" s="3"/>
      <c r="C74" s="3"/>
      <c r="D74" s="3"/>
      <c r="E74" s="16"/>
      <c r="F74" s="21"/>
      <c r="G74" s="3"/>
      <c r="H74" s="16"/>
      <c r="I74" s="21"/>
      <c r="J74" s="3"/>
      <c r="K74" s="16"/>
      <c r="L74" s="3"/>
      <c r="M74" s="3"/>
      <c r="N74" s="16"/>
      <c r="O74" s="21"/>
      <c r="P74" s="22"/>
      <c r="Q74" s="3"/>
      <c r="R74" s="3"/>
    </row>
    <row r="75" ht="12.75" customHeight="1">
      <c r="A75" s="21"/>
      <c r="B75" s="3"/>
      <c r="C75" s="3"/>
      <c r="D75" s="3"/>
      <c r="E75" s="16"/>
      <c r="F75" s="21"/>
      <c r="G75" s="3"/>
      <c r="H75" s="16"/>
      <c r="I75" s="21"/>
      <c r="J75" s="3"/>
      <c r="K75" s="16"/>
      <c r="L75" s="3"/>
      <c r="M75" s="3"/>
      <c r="N75" s="16"/>
      <c r="O75" s="21"/>
      <c r="P75" s="22"/>
      <c r="Q75" s="3"/>
      <c r="R75" s="3"/>
    </row>
    <row r="76" ht="12.75" customHeight="1">
      <c r="A76" s="23" t="s">
        <v>10</v>
      </c>
      <c r="B76" s="24" t="s">
        <v>11</v>
      </c>
      <c r="C76" s="25" t="s">
        <v>63</v>
      </c>
      <c r="D76" s="3"/>
      <c r="E76" s="16"/>
      <c r="F76" s="26">
        <v>7464.05</v>
      </c>
      <c r="G76" s="27">
        <v>7500.0</v>
      </c>
      <c r="H76" s="28">
        <f t="shared" ref="H76:H78" si="43">(F76+G76)/12</f>
        <v>1247.004167</v>
      </c>
      <c r="I76" s="26">
        <f>7212.46+287.54</f>
        <v>7500</v>
      </c>
      <c r="J76" s="27">
        <f>5965.88+1449.2</f>
        <v>7415.08</v>
      </c>
      <c r="K76" s="28">
        <f t="shared" ref="K76:K78" si="44">(J76+I76)/12</f>
        <v>1242.923333</v>
      </c>
      <c r="L76" s="27">
        <f>7523.77+0.02</f>
        <v>7523.79</v>
      </c>
      <c r="M76" s="27">
        <f>5820.96+1739.04</f>
        <v>7560</v>
      </c>
      <c r="N76" s="28">
        <f t="shared" ref="N76:N78" si="45">(L76+M76)/12</f>
        <v>1256.9825</v>
      </c>
      <c r="O76" s="26">
        <f t="shared" ref="O76:O78" si="46">F76+G76+I76+J76+L76+M76</f>
        <v>44962.92</v>
      </c>
      <c r="P76" s="31">
        <f t="shared" ref="P76:P78" si="47">H76+K76+N76</f>
        <v>3746.91</v>
      </c>
      <c r="Q76" s="30"/>
      <c r="R76" s="24"/>
    </row>
    <row r="77" ht="12.75" customHeight="1">
      <c r="A77" s="23" t="s">
        <v>13</v>
      </c>
      <c r="B77" s="24" t="s">
        <v>11</v>
      </c>
      <c r="C77" s="25" t="s">
        <v>64</v>
      </c>
      <c r="D77" s="3"/>
      <c r="E77" s="16"/>
      <c r="F77" s="26">
        <v>6290.33</v>
      </c>
      <c r="G77" s="27">
        <f>6049.17+241.16</f>
        <v>6290.33</v>
      </c>
      <c r="H77" s="28">
        <f t="shared" si="43"/>
        <v>1048.388333</v>
      </c>
      <c r="I77" s="26">
        <f>5808.01+482.33</f>
        <v>6290.34</v>
      </c>
      <c r="J77" s="27">
        <f>5368.29+972.37</f>
        <v>6340.66</v>
      </c>
      <c r="K77" s="28">
        <f t="shared" si="44"/>
        <v>1052.583333</v>
      </c>
      <c r="L77" s="27">
        <v>6340.66</v>
      </c>
      <c r="M77" s="27">
        <f>4395.92+1944.74</f>
        <v>6340.66</v>
      </c>
      <c r="N77" s="28">
        <f t="shared" si="45"/>
        <v>1056.776667</v>
      </c>
      <c r="O77" s="26">
        <f t="shared" si="46"/>
        <v>37892.98</v>
      </c>
      <c r="P77" s="31">
        <f t="shared" si="47"/>
        <v>3157.748333</v>
      </c>
      <c r="Q77" s="30"/>
      <c r="R77" s="24"/>
    </row>
    <row r="78" ht="12.75" customHeight="1">
      <c r="A78" s="23" t="s">
        <v>15</v>
      </c>
      <c r="B78" s="24" t="s">
        <v>11</v>
      </c>
      <c r="C78" s="25" t="s">
        <v>65</v>
      </c>
      <c r="D78" s="3"/>
      <c r="E78" s="16"/>
      <c r="F78" s="26">
        <v>9616.61</v>
      </c>
      <c r="G78" s="27">
        <v>10000.0</v>
      </c>
      <c r="H78" s="28">
        <f t="shared" si="43"/>
        <v>1634.7175</v>
      </c>
      <c r="I78" s="26">
        <f>8849.84+1150.16</f>
        <v>10000</v>
      </c>
      <c r="J78" s="27">
        <f>7568.05+2318.72</f>
        <v>9886.77</v>
      </c>
      <c r="K78" s="28">
        <f t="shared" si="44"/>
        <v>1657.230833</v>
      </c>
      <c r="L78" s="27">
        <f t="shared" ref="L78:M78" si="48">9307.09+772.91</f>
        <v>10080</v>
      </c>
      <c r="M78" s="27">
        <f t="shared" si="48"/>
        <v>10080</v>
      </c>
      <c r="N78" s="28">
        <f t="shared" si="45"/>
        <v>1680</v>
      </c>
      <c r="O78" s="26">
        <f t="shared" si="46"/>
        <v>59663.38</v>
      </c>
      <c r="P78" s="31">
        <f t="shared" si="47"/>
        <v>4971.948333</v>
      </c>
      <c r="Q78" s="30"/>
      <c r="R78" s="24"/>
    </row>
    <row r="79" ht="12.75" customHeight="1">
      <c r="A79" s="21"/>
      <c r="B79" s="3"/>
      <c r="C79" s="3"/>
      <c r="D79" s="3"/>
      <c r="E79" s="16"/>
      <c r="F79" s="21"/>
      <c r="G79" s="3"/>
      <c r="H79" s="16"/>
      <c r="I79" s="21"/>
      <c r="J79" s="3"/>
      <c r="K79" s="16"/>
      <c r="L79" s="3"/>
      <c r="M79" s="3"/>
      <c r="N79" s="16"/>
      <c r="O79" s="26"/>
      <c r="P79" s="31"/>
      <c r="Q79" s="3"/>
      <c r="R79" s="3"/>
    </row>
    <row r="80" ht="12.75" customHeight="1">
      <c r="A80" s="21"/>
      <c r="B80" s="3"/>
      <c r="C80" s="3"/>
      <c r="D80" s="2"/>
      <c r="E80" s="32" t="s">
        <v>27</v>
      </c>
      <c r="F80" s="33">
        <f t="shared" ref="F80:P80" si="49">SUM(F76:F79)</f>
        <v>23370.99</v>
      </c>
      <c r="G80" s="34">
        <f t="shared" si="49"/>
        <v>23790.33</v>
      </c>
      <c r="H80" s="35">
        <f t="shared" si="49"/>
        <v>3930.11</v>
      </c>
      <c r="I80" s="33">
        <f t="shared" si="49"/>
        <v>23790.34</v>
      </c>
      <c r="J80" s="34">
        <f t="shared" si="49"/>
        <v>23642.51</v>
      </c>
      <c r="K80" s="35">
        <f t="shared" si="49"/>
        <v>3952.7375</v>
      </c>
      <c r="L80" s="34">
        <f t="shared" si="49"/>
        <v>23944.45</v>
      </c>
      <c r="M80" s="34">
        <f t="shared" si="49"/>
        <v>23980.66</v>
      </c>
      <c r="N80" s="35">
        <f t="shared" si="49"/>
        <v>3993.759167</v>
      </c>
      <c r="O80" s="33">
        <f t="shared" si="49"/>
        <v>142519.28</v>
      </c>
      <c r="P80" s="36">
        <f t="shared" si="49"/>
        <v>11876.60667</v>
      </c>
      <c r="Q80" s="3"/>
      <c r="R80" s="3"/>
    </row>
    <row r="81" ht="12.75" customHeight="1">
      <c r="A81" s="21"/>
      <c r="B81" s="3"/>
      <c r="C81" s="3"/>
      <c r="D81" s="2"/>
      <c r="E81" s="32"/>
      <c r="F81" s="33"/>
      <c r="G81" s="34"/>
      <c r="H81" s="35"/>
      <c r="I81" s="33"/>
      <c r="J81" s="34"/>
      <c r="K81" s="35"/>
      <c r="L81" s="34"/>
      <c r="M81" s="34"/>
      <c r="N81" s="35"/>
      <c r="O81" s="33"/>
      <c r="P81" s="36"/>
      <c r="Q81" s="3"/>
      <c r="R81" s="3"/>
    </row>
    <row r="82" ht="12.75" customHeight="1">
      <c r="A82" s="21"/>
      <c r="B82" s="3"/>
      <c r="C82" s="3"/>
      <c r="D82" s="2"/>
      <c r="E82" s="32"/>
      <c r="F82" s="33"/>
      <c r="G82" s="34"/>
      <c r="H82" s="35"/>
      <c r="I82" s="33"/>
      <c r="J82" s="34"/>
      <c r="K82" s="35"/>
      <c r="L82" s="34"/>
      <c r="M82" s="34"/>
      <c r="N82" s="35"/>
      <c r="O82" s="33"/>
      <c r="P82" s="36"/>
      <c r="Q82" s="3"/>
      <c r="R82" s="3"/>
    </row>
    <row r="83" ht="12.75" customHeight="1">
      <c r="A83" s="14" t="s">
        <v>66</v>
      </c>
      <c r="B83" s="3"/>
      <c r="C83" s="3"/>
      <c r="D83" s="3"/>
      <c r="E83" s="16"/>
      <c r="F83" s="21"/>
      <c r="G83" s="3"/>
      <c r="H83" s="16"/>
      <c r="I83" s="21"/>
      <c r="J83" s="3"/>
      <c r="K83" s="16"/>
      <c r="L83" s="3"/>
      <c r="M83" s="3"/>
      <c r="N83" s="16"/>
      <c r="O83" s="21"/>
      <c r="P83" s="22"/>
      <c r="Q83" s="3"/>
      <c r="R83" s="3"/>
    </row>
    <row r="84" ht="12.75" customHeight="1">
      <c r="A84" s="21"/>
      <c r="B84" s="3"/>
      <c r="C84" s="3"/>
      <c r="D84" s="3"/>
      <c r="E84" s="16"/>
      <c r="F84" s="21"/>
      <c r="G84" s="3"/>
      <c r="H84" s="16"/>
      <c r="I84" s="21"/>
      <c r="J84" s="3"/>
      <c r="K84" s="16"/>
      <c r="L84" s="3"/>
      <c r="M84" s="3"/>
      <c r="N84" s="16"/>
      <c r="O84" s="21"/>
      <c r="P84" s="22"/>
      <c r="Q84" s="3"/>
      <c r="R84" s="3"/>
    </row>
    <row r="85" ht="12.75" customHeight="1">
      <c r="A85" s="23" t="s">
        <v>10</v>
      </c>
      <c r="B85" s="24" t="s">
        <v>11</v>
      </c>
      <c r="C85" s="25" t="s">
        <v>67</v>
      </c>
      <c r="D85" s="3"/>
      <c r="E85" s="16"/>
      <c r="F85" s="26">
        <v>9233.22</v>
      </c>
      <c r="G85" s="27">
        <v>9233.22</v>
      </c>
      <c r="H85" s="28">
        <f>(F85+G85)/12</f>
        <v>1538.87</v>
      </c>
      <c r="I85" s="26">
        <f>7699.68+1533.55</f>
        <v>9233.23</v>
      </c>
      <c r="J85" s="27">
        <f>6952.07+3140.7</f>
        <v>10092.77</v>
      </c>
      <c r="K85" s="28">
        <f>(I85+J85)/12</f>
        <v>1610.5</v>
      </c>
      <c r="L85" s="27">
        <f>8252.52+1962.94</f>
        <v>10215.46</v>
      </c>
      <c r="M85" s="27">
        <f>7835.4+2355.53-0.02</f>
        <v>10190.91</v>
      </c>
      <c r="N85" s="28">
        <f>(L85+M85)/12</f>
        <v>1700.530833</v>
      </c>
      <c r="O85" s="26">
        <f>F85+G85+I85+J85+L85+M85</f>
        <v>58198.81</v>
      </c>
      <c r="P85" s="31">
        <f>H85+K85+N85</f>
        <v>4849.900833</v>
      </c>
      <c r="Q85" s="30"/>
      <c r="R85" s="24"/>
    </row>
    <row r="86" ht="12.75" customHeight="1">
      <c r="A86" s="21"/>
      <c r="B86" s="3"/>
      <c r="C86" s="3"/>
      <c r="D86" s="3"/>
      <c r="E86" s="16"/>
      <c r="F86" s="21"/>
      <c r="G86" s="3"/>
      <c r="H86" s="16"/>
      <c r="I86" s="21"/>
      <c r="J86" s="3"/>
      <c r="K86" s="16"/>
      <c r="L86" s="3"/>
      <c r="M86" s="3"/>
      <c r="N86" s="16"/>
      <c r="O86" s="21"/>
      <c r="P86" s="22"/>
      <c r="Q86" s="3"/>
      <c r="R86" s="3"/>
    </row>
    <row r="87" ht="12.75" customHeight="1">
      <c r="A87" s="21"/>
      <c r="B87" s="3"/>
      <c r="C87" s="3"/>
      <c r="D87" s="2"/>
      <c r="E87" s="32" t="s">
        <v>27</v>
      </c>
      <c r="F87" s="33">
        <f t="shared" ref="F87:P87" si="50">SUM(F85:F86)</f>
        <v>9233.22</v>
      </c>
      <c r="G87" s="34">
        <f t="shared" si="50"/>
        <v>9233.22</v>
      </c>
      <c r="H87" s="35">
        <f t="shared" si="50"/>
        <v>1538.87</v>
      </c>
      <c r="I87" s="33">
        <f t="shared" si="50"/>
        <v>9233.23</v>
      </c>
      <c r="J87" s="34">
        <f t="shared" si="50"/>
        <v>10092.77</v>
      </c>
      <c r="K87" s="35">
        <f t="shared" si="50"/>
        <v>1610.5</v>
      </c>
      <c r="L87" s="34">
        <f t="shared" si="50"/>
        <v>10215.46</v>
      </c>
      <c r="M87" s="34">
        <f t="shared" si="50"/>
        <v>10190.91</v>
      </c>
      <c r="N87" s="35">
        <f t="shared" si="50"/>
        <v>1700.530833</v>
      </c>
      <c r="O87" s="33">
        <f t="shared" si="50"/>
        <v>58198.81</v>
      </c>
      <c r="P87" s="36">
        <f t="shared" si="50"/>
        <v>4849.900833</v>
      </c>
      <c r="Q87" s="3"/>
      <c r="R87" s="3"/>
    </row>
    <row r="88" ht="12.75" customHeight="1">
      <c r="A88" s="21"/>
      <c r="B88" s="3"/>
      <c r="C88" s="3"/>
      <c r="D88" s="3"/>
      <c r="E88" s="16"/>
      <c r="F88" s="21"/>
      <c r="G88" s="3"/>
      <c r="H88" s="16"/>
      <c r="I88" s="21"/>
      <c r="J88" s="3"/>
      <c r="K88" s="16"/>
      <c r="L88" s="3"/>
      <c r="M88" s="3"/>
      <c r="N88" s="16"/>
      <c r="O88" s="21"/>
      <c r="P88" s="22"/>
      <c r="Q88" s="3"/>
      <c r="R88" s="3"/>
    </row>
    <row r="89" ht="12.75" customHeight="1">
      <c r="A89" s="14" t="s">
        <v>68</v>
      </c>
      <c r="B89" s="3"/>
      <c r="C89" s="3"/>
      <c r="D89" s="3"/>
      <c r="E89" s="16"/>
      <c r="F89" s="21"/>
      <c r="G89" s="3"/>
      <c r="H89" s="16"/>
      <c r="I89" s="21"/>
      <c r="J89" s="3"/>
      <c r="K89" s="16"/>
      <c r="L89" s="3"/>
      <c r="M89" s="3"/>
      <c r="N89" s="16"/>
      <c r="O89" s="21"/>
      <c r="P89" s="22"/>
      <c r="Q89" s="3"/>
      <c r="R89" s="3"/>
    </row>
    <row r="90" ht="12.75" customHeight="1">
      <c r="A90" s="21"/>
      <c r="B90" s="3"/>
      <c r="C90" s="3"/>
      <c r="D90" s="3"/>
      <c r="E90" s="16"/>
      <c r="F90" s="21"/>
      <c r="G90" s="3"/>
      <c r="H90" s="16"/>
      <c r="I90" s="21"/>
      <c r="J90" s="3"/>
      <c r="K90" s="16"/>
      <c r="L90" s="3"/>
      <c r="M90" s="3"/>
      <c r="N90" s="16"/>
      <c r="O90" s="21"/>
      <c r="P90" s="22"/>
      <c r="Q90" s="3"/>
      <c r="R90" s="3"/>
    </row>
    <row r="91" ht="12.75" customHeight="1">
      <c r="A91" s="23">
        <v>1.0</v>
      </c>
      <c r="B91" s="24" t="s">
        <v>11</v>
      </c>
      <c r="C91" s="25" t="s">
        <v>69</v>
      </c>
      <c r="D91" s="3"/>
      <c r="E91" s="16"/>
      <c r="F91" s="26">
        <f>14424.92+575.08</f>
        <v>15000</v>
      </c>
      <c r="G91" s="27">
        <v>15000.0</v>
      </c>
      <c r="H91" s="28">
        <f>(F91+G91)/12</f>
        <v>2500</v>
      </c>
      <c r="I91" s="26">
        <v>15000.0</v>
      </c>
      <c r="J91" s="27">
        <f>11770.73+3560.89</f>
        <v>15331.62</v>
      </c>
      <c r="K91" s="28">
        <f>(I91+J91)/12</f>
        <v>2527.635</v>
      </c>
      <c r="L91" s="27">
        <f>14293.03+1186.97</f>
        <v>15480</v>
      </c>
      <c r="M91" s="27">
        <f>14293.03+1186.96</f>
        <v>15479.99</v>
      </c>
      <c r="N91" s="28">
        <f>(L91+M91)/12</f>
        <v>2579.999167</v>
      </c>
      <c r="O91" s="26">
        <f>F91+G91+I91+J91+L91+M91</f>
        <v>91291.61</v>
      </c>
      <c r="P91" s="31">
        <f>H91+K91+N91</f>
        <v>7607.634167</v>
      </c>
      <c r="Q91" s="3"/>
      <c r="R91" s="3"/>
    </row>
    <row r="92" ht="12.75" customHeight="1">
      <c r="A92" s="23"/>
      <c r="B92" s="24"/>
      <c r="C92" s="38"/>
      <c r="D92" s="3"/>
      <c r="E92" s="16"/>
      <c r="F92" s="26"/>
      <c r="G92" s="27"/>
      <c r="H92" s="28"/>
      <c r="I92" s="26"/>
      <c r="J92" s="27"/>
      <c r="K92" s="28"/>
      <c r="L92" s="27"/>
      <c r="M92" s="27"/>
      <c r="N92" s="28"/>
      <c r="O92" s="26"/>
      <c r="P92" s="31"/>
      <c r="Q92" s="3"/>
      <c r="R92" s="3"/>
    </row>
    <row r="93" ht="12.75" customHeight="1">
      <c r="A93" s="23"/>
      <c r="B93" s="24"/>
      <c r="C93" s="38"/>
      <c r="D93" s="2"/>
      <c r="E93" s="32" t="s">
        <v>27</v>
      </c>
      <c r="F93" s="33">
        <f t="shared" ref="F93:P93" si="51">SUM(F91:F92)</f>
        <v>15000</v>
      </c>
      <c r="G93" s="34">
        <f t="shared" si="51"/>
        <v>15000</v>
      </c>
      <c r="H93" s="35">
        <f t="shared" si="51"/>
        <v>2500</v>
      </c>
      <c r="I93" s="33">
        <f t="shared" si="51"/>
        <v>15000</v>
      </c>
      <c r="J93" s="34">
        <f t="shared" si="51"/>
        <v>15331.62</v>
      </c>
      <c r="K93" s="35">
        <f t="shared" si="51"/>
        <v>2527.635</v>
      </c>
      <c r="L93" s="34">
        <f t="shared" si="51"/>
        <v>15480</v>
      </c>
      <c r="M93" s="34">
        <f t="shared" si="51"/>
        <v>15479.99</v>
      </c>
      <c r="N93" s="35">
        <f t="shared" si="51"/>
        <v>2579.999167</v>
      </c>
      <c r="O93" s="33">
        <f t="shared" si="51"/>
        <v>91291.61</v>
      </c>
      <c r="P93" s="36">
        <f t="shared" si="51"/>
        <v>7607.634167</v>
      </c>
      <c r="Q93" s="3"/>
      <c r="R93" s="3"/>
    </row>
    <row r="94" ht="12.75" customHeight="1">
      <c r="A94" s="23"/>
      <c r="B94" s="24"/>
      <c r="C94" s="38"/>
      <c r="D94" s="3"/>
      <c r="E94" s="16"/>
      <c r="F94" s="26"/>
      <c r="G94" s="27"/>
      <c r="H94" s="28"/>
      <c r="I94" s="26"/>
      <c r="J94" s="27"/>
      <c r="K94" s="28"/>
      <c r="L94" s="27"/>
      <c r="M94" s="27"/>
      <c r="N94" s="28"/>
      <c r="O94" s="26"/>
      <c r="P94" s="31"/>
      <c r="Q94" s="3"/>
      <c r="R94" s="3"/>
    </row>
    <row r="95" ht="13.5" customHeight="1">
      <c r="A95" s="21"/>
      <c r="B95" s="3"/>
      <c r="C95" s="3"/>
      <c r="D95" s="3"/>
      <c r="E95" s="16"/>
      <c r="F95" s="21"/>
      <c r="G95" s="3"/>
      <c r="H95" s="16"/>
      <c r="I95" s="21"/>
      <c r="J95" s="3"/>
      <c r="K95" s="16"/>
      <c r="L95" s="3"/>
      <c r="M95" s="3"/>
      <c r="N95" s="16"/>
      <c r="O95" s="21"/>
      <c r="P95" s="22"/>
      <c r="Q95" s="3"/>
      <c r="R95" s="3"/>
    </row>
    <row r="96" ht="16.5" customHeight="1">
      <c r="A96" s="41"/>
      <c r="B96" s="42"/>
      <c r="C96" s="42"/>
      <c r="D96" s="43"/>
      <c r="E96" s="44" t="s">
        <v>70</v>
      </c>
      <c r="F96" s="45">
        <f t="shared" ref="F96:P96" si="52">SUM(F17+F27+F40+F47+F57+F71+F80+F87+F93)</f>
        <v>345443.49</v>
      </c>
      <c r="G96" s="45">
        <f t="shared" si="52"/>
        <v>349313.72</v>
      </c>
      <c r="H96" s="46">
        <f t="shared" si="52"/>
        <v>57896.43417</v>
      </c>
      <c r="I96" s="45">
        <f t="shared" si="52"/>
        <v>350222.29</v>
      </c>
      <c r="J96" s="45">
        <f t="shared" si="52"/>
        <v>355654.75</v>
      </c>
      <c r="K96" s="46">
        <f t="shared" si="52"/>
        <v>58823.08667</v>
      </c>
      <c r="L96" s="47">
        <f t="shared" si="52"/>
        <v>357515.48</v>
      </c>
      <c r="M96" s="45">
        <f t="shared" si="52"/>
        <v>361041.64</v>
      </c>
      <c r="N96" s="48">
        <f t="shared" si="52"/>
        <v>59879.76</v>
      </c>
      <c r="O96" s="45">
        <f t="shared" si="52"/>
        <v>2077040.41</v>
      </c>
      <c r="P96" s="49">
        <f t="shared" si="52"/>
        <v>176599.2808</v>
      </c>
      <c r="Q96" s="3"/>
      <c r="R96" s="3"/>
      <c r="S96" s="50"/>
    </row>
    <row r="97" ht="15.75" customHeight="1">
      <c r="A97" s="3"/>
      <c r="B97" s="3"/>
      <c r="C97" s="3"/>
      <c r="D97" s="3" t="s">
        <v>71</v>
      </c>
      <c r="E97" s="2"/>
      <c r="F97" s="51">
        <f>193776.43+13584.01</f>
        <v>207360.44</v>
      </c>
      <c r="G97" s="51">
        <f>198630.89+11449.62</f>
        <v>210080.51</v>
      </c>
      <c r="H97" s="2"/>
      <c r="I97" s="51">
        <f>197943.72+13356.87</f>
        <v>211300.59</v>
      </c>
      <c r="J97" s="51">
        <f>192918.98+20770.94</f>
        <v>213689.92</v>
      </c>
      <c r="K97" s="2"/>
      <c r="L97" s="51">
        <f>200086.41+14311.76</f>
        <v>214398.17</v>
      </c>
      <c r="M97" s="51">
        <f>197828.06+20071.75</f>
        <v>217899.81</v>
      </c>
      <c r="N97" s="3"/>
      <c r="O97" s="3"/>
      <c r="P97" s="4"/>
      <c r="Q97" s="3"/>
      <c r="R97" s="3"/>
      <c r="S97" s="52"/>
    </row>
    <row r="98" ht="15.75" customHeight="1">
      <c r="A98" s="24"/>
      <c r="B98" s="3"/>
      <c r="C98" s="3"/>
      <c r="D98" s="3" t="s">
        <v>72</v>
      </c>
      <c r="E98" s="2"/>
      <c r="F98" s="51">
        <f>136741.2+1341.85</f>
        <v>138083.05</v>
      </c>
      <c r="G98" s="51">
        <f>134632.57+4600.64</f>
        <v>139233.21</v>
      </c>
      <c r="H98" s="2"/>
      <c r="I98" s="51">
        <f>132020.74+6900.96</f>
        <v>138921.7</v>
      </c>
      <c r="J98" s="51">
        <f>126219.91+15744.92</f>
        <v>141964.83</v>
      </c>
      <c r="K98" s="2"/>
      <c r="L98" s="51">
        <f>132499.04+10618.27</f>
        <v>143117.31</v>
      </c>
      <c r="M98" s="51">
        <f>136059.91+7081.92</f>
        <v>143141.83</v>
      </c>
      <c r="N98" s="3"/>
      <c r="O98" s="3"/>
      <c r="P98" s="4"/>
      <c r="Q98" s="3"/>
      <c r="R98" s="3"/>
      <c r="S98" s="52"/>
    </row>
    <row r="99" ht="18.0" customHeight="1">
      <c r="A99" s="3"/>
      <c r="B99" s="3"/>
      <c r="C99" s="3"/>
      <c r="D99" s="3"/>
      <c r="E99" s="2"/>
      <c r="F99" s="53"/>
      <c r="H99" s="2"/>
      <c r="I99" s="53"/>
      <c r="K99" s="2"/>
      <c r="L99" s="54"/>
      <c r="N99" s="3"/>
      <c r="O99" s="3"/>
      <c r="P99" s="4"/>
      <c r="Q99" s="3"/>
      <c r="R99" s="3"/>
      <c r="S99" s="52"/>
    </row>
    <row r="100" ht="18.0" customHeight="1">
      <c r="F100" s="55"/>
      <c r="G100" s="55"/>
      <c r="H100" s="56"/>
      <c r="I100" s="57"/>
      <c r="P100" s="6"/>
      <c r="S100" s="52"/>
    </row>
    <row r="101" ht="18.0" customHeight="1">
      <c r="F101" s="55" t="s">
        <v>73</v>
      </c>
      <c r="G101" s="55"/>
      <c r="H101" s="58" t="str">
        <f>+P47+'[1]dec.2023-feb.2024'!$P$45</f>
        <v>#REF!</v>
      </c>
      <c r="I101" s="57"/>
      <c r="K101" s="59" t="s">
        <v>74</v>
      </c>
      <c r="L101" s="60" t="str">
        <f>+H96+'[1]dec.2023-feb.2024'!$H$90</f>
        <v>#REF!</v>
      </c>
      <c r="P101" s="6"/>
      <c r="S101" s="50"/>
    </row>
    <row r="102" ht="18.0" customHeight="1">
      <c r="F102" s="55" t="s">
        <v>75</v>
      </c>
      <c r="G102" s="55"/>
      <c r="H102" s="61" t="str">
        <f>+'[1]dec.2023-feb.2024'!$P$87</f>
        <v>#REF!</v>
      </c>
      <c r="I102" s="57"/>
      <c r="J102" s="57"/>
      <c r="K102" s="59" t="s">
        <v>76</v>
      </c>
      <c r="L102" s="60" t="str">
        <f>+K96+'[1]dec.2023-feb.2024'!$K$90</f>
        <v>#REF!</v>
      </c>
      <c r="P102" s="6"/>
    </row>
    <row r="103" ht="18.0" customHeight="1">
      <c r="F103" s="55" t="s">
        <v>77</v>
      </c>
      <c r="G103" s="55"/>
      <c r="H103" s="62" t="str">
        <f>+P17+'[1]dec.2023-feb.2024'!$P$10</f>
        <v>#REF!</v>
      </c>
      <c r="I103" s="57"/>
      <c r="J103" s="63"/>
      <c r="K103" s="59" t="s">
        <v>78</v>
      </c>
      <c r="L103" s="60" t="str">
        <f>+N96+'[1]dec.2023-feb.2024'!$N$90</f>
        <v>#REF!</v>
      </c>
      <c r="P103" s="6"/>
    </row>
    <row r="104" ht="18.0" customHeight="1">
      <c r="F104" s="55" t="s">
        <v>79</v>
      </c>
      <c r="G104" s="55"/>
      <c r="H104" s="64">
        <f>+P87</f>
        <v>4849.900833</v>
      </c>
      <c r="I104" s="57"/>
      <c r="K104" s="65" t="s">
        <v>6</v>
      </c>
      <c r="L104" s="66" t="str">
        <f>SUM(L101:L103)</f>
        <v>#REF!</v>
      </c>
      <c r="P104" s="6"/>
    </row>
    <row r="105" ht="18.0" customHeight="1">
      <c r="F105" s="55" t="s">
        <v>80</v>
      </c>
      <c r="G105" s="55"/>
      <c r="H105" s="62">
        <f>+P57</f>
        <v>16958.51083</v>
      </c>
      <c r="I105" s="57"/>
      <c r="P105" s="6"/>
    </row>
    <row r="106" ht="18.0" customHeight="1">
      <c r="F106" s="55" t="s">
        <v>81</v>
      </c>
      <c r="G106" s="55"/>
      <c r="H106" s="62">
        <f>+P40</f>
        <v>32756.5725</v>
      </c>
      <c r="I106" s="57"/>
      <c r="P106" s="6"/>
    </row>
    <row r="107" ht="18.0" customHeight="1">
      <c r="F107" s="55" t="s">
        <v>82</v>
      </c>
      <c r="G107" s="55"/>
      <c r="H107" s="62">
        <f>+P27</f>
        <v>28084.4875</v>
      </c>
      <c r="P107" s="6"/>
    </row>
    <row r="108" ht="18.0" customHeight="1">
      <c r="F108" s="55" t="s">
        <v>83</v>
      </c>
      <c r="G108" s="55"/>
      <c r="H108" s="62">
        <f>+P80</f>
        <v>11876.60667</v>
      </c>
      <c r="P108" s="6"/>
    </row>
    <row r="109" ht="18.0" customHeight="1">
      <c r="F109" s="55" t="s">
        <v>84</v>
      </c>
      <c r="G109" s="55"/>
      <c r="H109" s="62">
        <f>+P93</f>
        <v>7607.634167</v>
      </c>
      <c r="P109" s="6"/>
    </row>
    <row r="110" ht="18.0" customHeight="1">
      <c r="F110" s="55" t="s">
        <v>85</v>
      </c>
      <c r="G110" s="55"/>
      <c r="H110" s="62" t="str">
        <f>+P71+'[1]dec.2023-feb.2024'!$P$65</f>
        <v>#REF!</v>
      </c>
      <c r="P110" s="6"/>
    </row>
    <row r="111" ht="18.0" customHeight="1">
      <c r="F111" s="55"/>
      <c r="G111" s="55"/>
      <c r="H111" s="67"/>
      <c r="P111" s="6"/>
    </row>
    <row r="112" ht="20.25" customHeight="1">
      <c r="F112" s="68" t="s">
        <v>86</v>
      </c>
      <c r="G112" s="69"/>
      <c r="H112" s="70" t="str">
        <f>SUM(H101:H111)</f>
        <v>#REF!</v>
      </c>
      <c r="P112" s="6"/>
    </row>
    <row r="113" ht="12.75" customHeight="1">
      <c r="P113" s="6"/>
    </row>
    <row r="114" ht="12.75" customHeight="1">
      <c r="P114" s="6"/>
    </row>
    <row r="115" ht="12.75" customHeight="1">
      <c r="P115" s="6"/>
    </row>
    <row r="116" ht="12.75" customHeight="1">
      <c r="P116" s="6"/>
    </row>
    <row r="117" ht="12.75" customHeight="1">
      <c r="P117" s="6"/>
    </row>
    <row r="118" ht="12.75" customHeight="1">
      <c r="P118" s="6"/>
    </row>
    <row r="119" ht="12.75" customHeight="1">
      <c r="P119" s="6"/>
    </row>
    <row r="120" ht="12.75" customHeight="1">
      <c r="P120" s="6"/>
    </row>
    <row r="121" ht="12.75" customHeight="1">
      <c r="P121" s="6"/>
    </row>
    <row r="122" ht="12.75" customHeight="1">
      <c r="P122" s="6"/>
    </row>
    <row r="123" ht="12.75" customHeight="1">
      <c r="P123" s="6"/>
    </row>
    <row r="124" ht="12.75" customHeight="1">
      <c r="P124" s="6"/>
    </row>
    <row r="125" ht="12.75" customHeight="1">
      <c r="P125" s="6"/>
    </row>
    <row r="126" ht="12.75" customHeight="1">
      <c r="P126" s="6"/>
    </row>
    <row r="127" ht="12.75" customHeight="1">
      <c r="P127" s="6"/>
    </row>
    <row r="128" ht="12.75" customHeight="1">
      <c r="P128" s="6"/>
    </row>
    <row r="129" ht="12.75" customHeight="1">
      <c r="P129" s="6"/>
    </row>
    <row r="130" ht="12.75" customHeight="1">
      <c r="P130" s="6"/>
    </row>
    <row r="131" ht="12.75" customHeight="1">
      <c r="P131" s="6"/>
    </row>
    <row r="132" ht="12.75" customHeight="1">
      <c r="P132" s="6"/>
    </row>
    <row r="133" ht="12.75" customHeight="1">
      <c r="P133" s="6"/>
    </row>
    <row r="134" ht="12.75" customHeight="1">
      <c r="P134" s="6"/>
    </row>
    <row r="135" ht="12.75" customHeight="1">
      <c r="P135" s="6"/>
    </row>
    <row r="136" ht="12.75" customHeight="1">
      <c r="P136" s="6"/>
    </row>
    <row r="137" ht="12.75" customHeight="1">
      <c r="P137" s="6"/>
    </row>
    <row r="138" ht="12.75" customHeight="1">
      <c r="P138" s="6"/>
    </row>
    <row r="139" ht="12.75" customHeight="1">
      <c r="P139" s="6"/>
    </row>
    <row r="140" ht="12.75" customHeight="1">
      <c r="P140" s="6"/>
    </row>
    <row r="141" ht="12.75" customHeight="1">
      <c r="P141" s="6"/>
    </row>
    <row r="142" ht="12.75" customHeight="1">
      <c r="P142" s="6"/>
    </row>
    <row r="143" ht="12.75" customHeight="1">
      <c r="P143" s="6"/>
    </row>
    <row r="144" ht="12.75" customHeight="1">
      <c r="P144" s="6"/>
    </row>
    <row r="145" ht="12.75" customHeight="1">
      <c r="P145" s="6"/>
    </row>
    <row r="146" ht="12.75" customHeight="1">
      <c r="P146" s="6"/>
    </row>
    <row r="147" ht="12.75" customHeight="1">
      <c r="P147" s="6"/>
    </row>
    <row r="148" ht="12.75" customHeight="1">
      <c r="P148" s="6"/>
    </row>
    <row r="149" ht="12.75" customHeight="1">
      <c r="P149" s="6"/>
    </row>
    <row r="150" ht="12.75" customHeight="1">
      <c r="P150" s="6"/>
    </row>
    <row r="151" ht="12.75" customHeight="1">
      <c r="P151" s="6"/>
    </row>
    <row r="152" ht="12.75" customHeight="1">
      <c r="P152" s="6"/>
    </row>
    <row r="153" ht="12.75" customHeight="1">
      <c r="P153" s="6"/>
    </row>
    <row r="154" ht="12.75" customHeight="1">
      <c r="P154" s="6"/>
    </row>
    <row r="155" ht="12.75" customHeight="1">
      <c r="P155" s="6"/>
    </row>
    <row r="156" ht="12.75" customHeight="1">
      <c r="P156" s="6"/>
    </row>
    <row r="157" ht="12.75" customHeight="1">
      <c r="P157" s="6"/>
    </row>
    <row r="158" ht="12.75" customHeight="1">
      <c r="P158" s="6"/>
    </row>
    <row r="159" ht="12.75" customHeight="1">
      <c r="P159" s="6"/>
    </row>
    <row r="160" ht="12.75" customHeight="1">
      <c r="P160" s="6"/>
    </row>
    <row r="161" ht="12.75" customHeight="1">
      <c r="P161" s="6"/>
    </row>
    <row r="162" ht="12.75" customHeight="1">
      <c r="P162" s="6"/>
    </row>
    <row r="163" ht="12.75" customHeight="1">
      <c r="P163" s="6"/>
    </row>
    <row r="164" ht="12.75" customHeight="1">
      <c r="P164" s="6"/>
    </row>
    <row r="165" ht="12.75" customHeight="1">
      <c r="P165" s="6"/>
    </row>
    <row r="166" ht="12.75" customHeight="1">
      <c r="P166" s="6"/>
    </row>
    <row r="167" ht="12.75" customHeight="1">
      <c r="P167" s="6"/>
    </row>
    <row r="168" ht="12.75" customHeight="1">
      <c r="P168" s="6"/>
    </row>
    <row r="169" ht="12.75" customHeight="1">
      <c r="P169" s="6"/>
    </row>
    <row r="170" ht="12.75" customHeight="1">
      <c r="P170" s="6"/>
    </row>
    <row r="171" ht="12.75" customHeight="1">
      <c r="P171" s="6"/>
    </row>
    <row r="172" ht="12.75" customHeight="1">
      <c r="P172" s="6"/>
    </row>
    <row r="173" ht="12.75" customHeight="1">
      <c r="P173" s="6"/>
    </row>
    <row r="174" ht="12.75" customHeight="1">
      <c r="P174" s="6"/>
    </row>
    <row r="175" ht="12.75" customHeight="1">
      <c r="P175" s="6"/>
    </row>
    <row r="176" ht="12.75" customHeight="1">
      <c r="P176" s="6"/>
    </row>
    <row r="177" ht="12.75" customHeight="1">
      <c r="P177" s="6"/>
    </row>
    <row r="178" ht="12.75" customHeight="1">
      <c r="P178" s="6"/>
    </row>
    <row r="179" ht="12.75" customHeight="1">
      <c r="P179" s="6"/>
    </row>
    <row r="180" ht="12.75" customHeight="1">
      <c r="P180" s="6"/>
    </row>
    <row r="181" ht="12.75" customHeight="1">
      <c r="P181" s="6"/>
    </row>
    <row r="182" ht="12.75" customHeight="1">
      <c r="P182" s="6"/>
    </row>
    <row r="183" ht="12.75" customHeight="1">
      <c r="P183" s="6"/>
    </row>
    <row r="184" ht="12.75" customHeight="1">
      <c r="P184" s="6"/>
    </row>
    <row r="185" ht="12.75" customHeight="1">
      <c r="P185" s="6"/>
    </row>
    <row r="186" ht="12.75" customHeight="1">
      <c r="P186" s="6"/>
    </row>
    <row r="187" ht="12.75" customHeight="1">
      <c r="P187" s="6"/>
    </row>
    <row r="188" ht="12.75" customHeight="1">
      <c r="P188" s="6"/>
    </row>
    <row r="189" ht="12.75" customHeight="1">
      <c r="P189" s="6"/>
    </row>
    <row r="190" ht="12.75" customHeight="1">
      <c r="P190" s="6"/>
    </row>
    <row r="191" ht="12.75" customHeight="1">
      <c r="P191" s="6"/>
    </row>
    <row r="192" ht="12.75" customHeight="1">
      <c r="P192" s="6"/>
    </row>
    <row r="193" ht="12.75" customHeight="1">
      <c r="P193" s="6"/>
    </row>
    <row r="194" ht="12.75" customHeight="1">
      <c r="P194" s="6"/>
    </row>
    <row r="195" ht="12.75" customHeight="1">
      <c r="P195" s="6"/>
    </row>
    <row r="196" ht="12.75" customHeight="1">
      <c r="P196" s="6"/>
    </row>
    <row r="197" ht="12.75" customHeight="1">
      <c r="P197" s="6"/>
    </row>
    <row r="198" ht="12.75" customHeight="1">
      <c r="P198" s="6"/>
    </row>
    <row r="199" ht="12.75" customHeight="1">
      <c r="P199" s="6"/>
    </row>
    <row r="200" ht="12.75" customHeight="1">
      <c r="P200" s="6"/>
    </row>
    <row r="201" ht="12.75" customHeight="1">
      <c r="P201" s="6"/>
    </row>
    <row r="202" ht="12.75" customHeight="1">
      <c r="P202" s="6"/>
    </row>
    <row r="203" ht="12.75" customHeight="1">
      <c r="P203" s="6"/>
    </row>
    <row r="204" ht="12.75" customHeight="1">
      <c r="P204" s="6"/>
    </row>
    <row r="205" ht="12.75" customHeight="1">
      <c r="P205" s="6"/>
    </row>
    <row r="206" ht="12.75" customHeight="1">
      <c r="P206" s="6"/>
    </row>
    <row r="207" ht="12.75" customHeight="1">
      <c r="P207" s="6"/>
    </row>
    <row r="208" ht="12.75" customHeight="1">
      <c r="P208" s="6"/>
    </row>
    <row r="209" ht="12.75" customHeight="1">
      <c r="P209" s="6"/>
    </row>
    <row r="210" ht="12.75" customHeight="1">
      <c r="P210" s="6"/>
    </row>
    <row r="211" ht="12.75" customHeight="1">
      <c r="P211" s="6"/>
    </row>
    <row r="212" ht="12.75" customHeight="1">
      <c r="P212" s="6"/>
    </row>
    <row r="213" ht="12.75" customHeight="1">
      <c r="P213" s="6"/>
    </row>
    <row r="214" ht="12.75" customHeight="1">
      <c r="P214" s="6"/>
    </row>
    <row r="215" ht="12.75" customHeight="1">
      <c r="P215" s="6"/>
    </row>
    <row r="216" ht="12.75" customHeight="1">
      <c r="P216" s="6"/>
    </row>
    <row r="217" ht="12.75" customHeight="1">
      <c r="P217" s="6"/>
    </row>
    <row r="218" ht="12.75" customHeight="1">
      <c r="P218" s="6"/>
    </row>
    <row r="219" ht="12.75" customHeight="1">
      <c r="P219" s="6"/>
    </row>
    <row r="220" ht="12.75" customHeight="1">
      <c r="P220" s="6"/>
    </row>
    <row r="221" ht="12.75" customHeight="1">
      <c r="P221" s="6"/>
    </row>
    <row r="222" ht="12.75" customHeight="1">
      <c r="P222" s="6"/>
    </row>
    <row r="223" ht="12.75" customHeight="1">
      <c r="P223" s="6"/>
    </row>
    <row r="224" ht="12.75" customHeight="1">
      <c r="P224" s="6"/>
    </row>
    <row r="225" ht="12.75" customHeight="1">
      <c r="P225" s="6"/>
    </row>
    <row r="226" ht="12.75" customHeight="1">
      <c r="P226" s="6"/>
    </row>
    <row r="227" ht="12.75" customHeight="1">
      <c r="P227" s="6"/>
    </row>
    <row r="228" ht="12.75" customHeight="1">
      <c r="P228" s="6"/>
    </row>
    <row r="229" ht="12.75" customHeight="1">
      <c r="P229" s="6"/>
    </row>
    <row r="230" ht="12.75" customHeight="1">
      <c r="P230" s="6"/>
    </row>
    <row r="231" ht="12.75" customHeight="1">
      <c r="P231" s="6"/>
    </row>
    <row r="232" ht="12.75" customHeight="1">
      <c r="P232" s="6"/>
    </row>
    <row r="233" ht="12.75" customHeight="1">
      <c r="P233" s="6"/>
    </row>
    <row r="234" ht="12.75" customHeight="1">
      <c r="P234" s="6"/>
    </row>
    <row r="235" ht="12.75" customHeight="1">
      <c r="P235" s="6"/>
    </row>
    <row r="236" ht="12.75" customHeight="1">
      <c r="P236" s="6"/>
    </row>
    <row r="237" ht="12.75" customHeight="1">
      <c r="P237" s="6"/>
    </row>
    <row r="238" ht="12.75" customHeight="1">
      <c r="P238" s="6"/>
    </row>
    <row r="239" ht="12.75" customHeight="1">
      <c r="P239" s="6"/>
    </row>
    <row r="240" ht="12.75" customHeight="1">
      <c r="P240" s="6"/>
    </row>
    <row r="241" ht="12.75" customHeight="1">
      <c r="P241" s="6"/>
    </row>
    <row r="242" ht="12.75" customHeight="1">
      <c r="P242" s="6"/>
    </row>
    <row r="243" ht="12.75" customHeight="1">
      <c r="P243" s="6"/>
    </row>
    <row r="244" ht="12.75" customHeight="1">
      <c r="P244" s="6"/>
    </row>
    <row r="245" ht="12.75" customHeight="1">
      <c r="P245" s="6"/>
    </row>
    <row r="246" ht="12.75" customHeight="1">
      <c r="P246" s="6"/>
    </row>
    <row r="247" ht="12.75" customHeight="1">
      <c r="P247" s="6"/>
    </row>
    <row r="248" ht="12.75" customHeight="1">
      <c r="P248" s="6"/>
    </row>
    <row r="249" ht="12.75" customHeight="1">
      <c r="P249" s="6"/>
    </row>
    <row r="250" ht="12.75" customHeight="1">
      <c r="P250" s="6"/>
    </row>
    <row r="251" ht="12.75" customHeight="1">
      <c r="P251" s="6"/>
    </row>
    <row r="252" ht="12.75" customHeight="1">
      <c r="P252" s="6"/>
    </row>
    <row r="253" ht="12.75" customHeight="1">
      <c r="P253" s="6"/>
    </row>
    <row r="254" ht="12.75" customHeight="1">
      <c r="P254" s="6"/>
    </row>
    <row r="255" ht="12.75" customHeight="1">
      <c r="P255" s="6"/>
    </row>
    <row r="256" ht="12.75" customHeight="1">
      <c r="P256" s="6"/>
    </row>
    <row r="257" ht="12.75" customHeight="1">
      <c r="P257" s="6"/>
    </row>
    <row r="258" ht="12.75" customHeight="1">
      <c r="P258" s="6"/>
    </row>
    <row r="259" ht="12.75" customHeight="1">
      <c r="P259" s="6"/>
    </row>
    <row r="260" ht="12.75" customHeight="1">
      <c r="P260" s="6"/>
    </row>
    <row r="261" ht="12.75" customHeight="1">
      <c r="P261" s="6"/>
    </row>
    <row r="262" ht="12.75" customHeight="1">
      <c r="P262" s="6"/>
    </row>
    <row r="263" ht="12.75" customHeight="1">
      <c r="P263" s="6"/>
    </row>
    <row r="264" ht="12.75" customHeight="1">
      <c r="P264" s="6"/>
    </row>
    <row r="265" ht="12.75" customHeight="1">
      <c r="P265" s="6"/>
    </row>
    <row r="266" ht="12.75" customHeight="1">
      <c r="P266" s="6"/>
    </row>
    <row r="267" ht="12.75" customHeight="1">
      <c r="P267" s="6"/>
    </row>
    <row r="268" ht="12.75" customHeight="1">
      <c r="P268" s="6"/>
    </row>
    <row r="269" ht="12.75" customHeight="1">
      <c r="P269" s="6"/>
    </row>
    <row r="270" ht="12.75" customHeight="1">
      <c r="P270" s="6"/>
    </row>
    <row r="271" ht="12.75" customHeight="1">
      <c r="P271" s="6"/>
    </row>
    <row r="272" ht="12.75" customHeight="1">
      <c r="P272" s="6"/>
    </row>
    <row r="273" ht="12.75" customHeight="1">
      <c r="P273" s="6"/>
    </row>
    <row r="274" ht="12.75" customHeight="1">
      <c r="P274" s="6"/>
    </row>
    <row r="275" ht="12.75" customHeight="1">
      <c r="P275" s="6"/>
    </row>
    <row r="276" ht="12.75" customHeight="1">
      <c r="P276" s="6"/>
    </row>
    <row r="277" ht="12.75" customHeight="1">
      <c r="P277" s="6"/>
    </row>
    <row r="278" ht="12.75" customHeight="1">
      <c r="P278" s="6"/>
    </row>
    <row r="279" ht="12.75" customHeight="1">
      <c r="P279" s="6"/>
    </row>
    <row r="280" ht="12.75" customHeight="1">
      <c r="P280" s="6"/>
    </row>
    <row r="281" ht="12.75" customHeight="1">
      <c r="P281" s="6"/>
    </row>
    <row r="282" ht="12.75" customHeight="1">
      <c r="P282" s="6"/>
    </row>
    <row r="283" ht="12.75" customHeight="1">
      <c r="P283" s="6"/>
    </row>
    <row r="284" ht="12.75" customHeight="1">
      <c r="P284" s="6"/>
    </row>
    <row r="285" ht="12.75" customHeight="1">
      <c r="P285" s="6"/>
    </row>
    <row r="286" ht="12.75" customHeight="1">
      <c r="P286" s="6"/>
    </row>
    <row r="287" ht="12.75" customHeight="1">
      <c r="P287" s="6"/>
    </row>
    <row r="288" ht="12.75" customHeight="1">
      <c r="P288" s="6"/>
    </row>
    <row r="289" ht="12.75" customHeight="1">
      <c r="P289" s="6"/>
    </row>
    <row r="290" ht="12.75" customHeight="1">
      <c r="P290" s="6"/>
    </row>
    <row r="291" ht="12.75" customHeight="1">
      <c r="P291" s="6"/>
    </row>
    <row r="292" ht="12.75" customHeight="1">
      <c r="P292" s="6"/>
    </row>
    <row r="293" ht="12.75" customHeight="1">
      <c r="P293" s="6"/>
    </row>
    <row r="294" ht="12.75" customHeight="1">
      <c r="P294" s="6"/>
    </row>
    <row r="295" ht="12.75" customHeight="1">
      <c r="P295" s="6"/>
    </row>
    <row r="296" ht="12.75" customHeight="1">
      <c r="P296" s="6"/>
    </row>
    <row r="297" ht="12.75" customHeight="1">
      <c r="P297" s="6"/>
    </row>
    <row r="298" ht="12.75" customHeight="1">
      <c r="P298" s="6"/>
    </row>
    <row r="299" ht="12.75" customHeight="1">
      <c r="P299" s="6"/>
    </row>
    <row r="300" ht="12.75" customHeight="1">
      <c r="P300" s="6"/>
    </row>
    <row r="301" ht="12.75" customHeight="1">
      <c r="P301" s="6"/>
    </row>
    <row r="302" ht="12.75" customHeight="1">
      <c r="P302" s="6"/>
    </row>
    <row r="303" ht="12.75" customHeight="1">
      <c r="P303" s="6"/>
    </row>
    <row r="304" ht="12.75" customHeight="1">
      <c r="P304" s="6"/>
    </row>
    <row r="305" ht="12.75" customHeight="1">
      <c r="P305" s="6"/>
    </row>
    <row r="306" ht="12.75" customHeight="1">
      <c r="P306" s="6"/>
    </row>
    <row r="307" ht="12.75" customHeight="1">
      <c r="P307" s="6"/>
    </row>
    <row r="308" ht="12.75" customHeight="1">
      <c r="P308" s="6"/>
    </row>
    <row r="309" ht="12.75" customHeight="1">
      <c r="P309" s="6"/>
    </row>
    <row r="310" ht="12.75" customHeight="1">
      <c r="P310" s="6"/>
    </row>
    <row r="311" ht="12.75" customHeight="1">
      <c r="P311" s="6"/>
    </row>
    <row r="312" ht="12.75" customHeight="1">
      <c r="P312" s="6"/>
    </row>
    <row r="313" ht="12.75" customHeight="1">
      <c r="P313" s="6"/>
    </row>
    <row r="314" ht="12.75" customHeight="1">
      <c r="P314" s="6"/>
    </row>
    <row r="315" ht="12.75" customHeight="1">
      <c r="P315" s="6"/>
    </row>
    <row r="316" ht="12.75" customHeight="1">
      <c r="P316" s="6"/>
    </row>
    <row r="317" ht="12.75" customHeight="1">
      <c r="P317" s="6"/>
    </row>
    <row r="318" ht="12.75" customHeight="1">
      <c r="P318" s="6"/>
    </row>
    <row r="319" ht="12.75" customHeight="1">
      <c r="P319" s="6"/>
    </row>
    <row r="320" ht="12.75" customHeight="1">
      <c r="P320" s="6"/>
    </row>
    <row r="321" ht="12.75" customHeight="1">
      <c r="P321" s="6"/>
    </row>
    <row r="322" ht="12.75" customHeight="1">
      <c r="P322" s="6"/>
    </row>
    <row r="323" ht="12.75" customHeight="1">
      <c r="P323" s="6"/>
    </row>
    <row r="324" ht="12.75" customHeight="1">
      <c r="P324" s="6"/>
    </row>
    <row r="325" ht="12.75" customHeight="1">
      <c r="P325" s="6"/>
    </row>
    <row r="326" ht="12.75" customHeight="1">
      <c r="P326" s="6"/>
    </row>
    <row r="327" ht="12.75" customHeight="1">
      <c r="P327" s="6"/>
    </row>
    <row r="328" ht="12.75" customHeight="1">
      <c r="P328" s="6"/>
    </row>
    <row r="329" ht="12.75" customHeight="1">
      <c r="P329" s="6"/>
    </row>
    <row r="330" ht="12.75" customHeight="1">
      <c r="P330" s="6"/>
    </row>
    <row r="331" ht="12.75" customHeight="1">
      <c r="P331" s="6"/>
    </row>
    <row r="332" ht="12.75" customHeight="1">
      <c r="P332" s="6"/>
    </row>
    <row r="333" ht="12.75" customHeight="1">
      <c r="P333" s="6"/>
    </row>
    <row r="334" ht="12.75" customHeight="1">
      <c r="P334" s="6"/>
    </row>
    <row r="335" ht="12.75" customHeight="1">
      <c r="P335" s="6"/>
    </row>
    <row r="336" ht="12.75" customHeight="1">
      <c r="P336" s="6"/>
    </row>
    <row r="337" ht="12.75" customHeight="1">
      <c r="P337" s="6"/>
    </row>
    <row r="338" ht="12.75" customHeight="1">
      <c r="P338" s="6"/>
    </row>
    <row r="339" ht="12.75" customHeight="1">
      <c r="P339" s="6"/>
    </row>
    <row r="340" ht="12.75" customHeight="1">
      <c r="P340" s="6"/>
    </row>
    <row r="341" ht="12.75" customHeight="1">
      <c r="P341" s="6"/>
    </row>
    <row r="342" ht="12.75" customHeight="1">
      <c r="P342" s="6"/>
    </row>
    <row r="343" ht="12.75" customHeight="1">
      <c r="P343" s="6"/>
    </row>
    <row r="344" ht="12.75" customHeight="1">
      <c r="P344" s="6"/>
    </row>
    <row r="345" ht="12.75" customHeight="1">
      <c r="P345" s="6"/>
    </row>
    <row r="346" ht="12.75" customHeight="1">
      <c r="P346" s="6"/>
    </row>
    <row r="347" ht="12.75" customHeight="1">
      <c r="P347" s="6"/>
    </row>
    <row r="348" ht="12.75" customHeight="1">
      <c r="P348" s="6"/>
    </row>
    <row r="349" ht="12.75" customHeight="1">
      <c r="P349" s="6"/>
    </row>
    <row r="350" ht="12.75" customHeight="1">
      <c r="P350" s="6"/>
    </row>
    <row r="351" ht="12.75" customHeight="1">
      <c r="P351" s="6"/>
    </row>
    <row r="352" ht="12.75" customHeight="1">
      <c r="P352" s="6"/>
    </row>
    <row r="353" ht="12.75" customHeight="1">
      <c r="P353" s="6"/>
    </row>
    <row r="354" ht="12.75" customHeight="1">
      <c r="P354" s="6"/>
    </row>
    <row r="355" ht="12.75" customHeight="1">
      <c r="P355" s="6"/>
    </row>
    <row r="356" ht="12.75" customHeight="1">
      <c r="P356" s="6"/>
    </row>
    <row r="357" ht="12.75" customHeight="1">
      <c r="P357" s="6"/>
    </row>
    <row r="358" ht="12.75" customHeight="1">
      <c r="P358" s="6"/>
    </row>
    <row r="359" ht="12.75" customHeight="1">
      <c r="P359" s="6"/>
    </row>
    <row r="360" ht="12.75" customHeight="1">
      <c r="P360" s="6"/>
    </row>
    <row r="361" ht="12.75" customHeight="1">
      <c r="P361" s="6"/>
    </row>
    <row r="362" ht="12.75" customHeight="1">
      <c r="P362" s="6"/>
    </row>
    <row r="363" ht="12.75" customHeight="1">
      <c r="P363" s="6"/>
    </row>
    <row r="364" ht="12.75" customHeight="1">
      <c r="P364" s="6"/>
    </row>
    <row r="365" ht="12.75" customHeight="1">
      <c r="P365" s="6"/>
    </row>
    <row r="366" ht="12.75" customHeight="1">
      <c r="P366" s="6"/>
    </row>
    <row r="367" ht="12.75" customHeight="1">
      <c r="P367" s="6"/>
    </row>
    <row r="368" ht="12.75" customHeight="1">
      <c r="P368" s="6"/>
    </row>
    <row r="369" ht="12.75" customHeight="1">
      <c r="P369" s="6"/>
    </row>
    <row r="370" ht="12.75" customHeight="1">
      <c r="P370" s="6"/>
    </row>
    <row r="371" ht="12.75" customHeight="1">
      <c r="P371" s="6"/>
    </row>
    <row r="372" ht="12.75" customHeight="1">
      <c r="P372" s="6"/>
    </row>
    <row r="373" ht="12.75" customHeight="1">
      <c r="P373" s="6"/>
    </row>
    <row r="374" ht="12.75" customHeight="1">
      <c r="P374" s="6"/>
    </row>
    <row r="375" ht="12.75" customHeight="1">
      <c r="P375" s="6"/>
    </row>
    <row r="376" ht="12.75" customHeight="1">
      <c r="P376" s="6"/>
    </row>
    <row r="377" ht="12.75" customHeight="1">
      <c r="P377" s="6"/>
    </row>
    <row r="378" ht="12.75" customHeight="1">
      <c r="P378" s="6"/>
    </row>
    <row r="379" ht="12.75" customHeight="1">
      <c r="P379" s="6"/>
    </row>
    <row r="380" ht="12.75" customHeight="1">
      <c r="P380" s="6"/>
    </row>
    <row r="381" ht="12.75" customHeight="1">
      <c r="P381" s="6"/>
    </row>
    <row r="382" ht="12.75" customHeight="1">
      <c r="P382" s="6"/>
    </row>
    <row r="383" ht="12.75" customHeight="1">
      <c r="P383" s="6"/>
    </row>
    <row r="384" ht="12.75" customHeight="1">
      <c r="P384" s="6"/>
    </row>
    <row r="385" ht="12.75" customHeight="1">
      <c r="P385" s="6"/>
    </row>
    <row r="386" ht="12.75" customHeight="1">
      <c r="P386" s="6"/>
    </row>
    <row r="387" ht="12.75" customHeight="1">
      <c r="P387" s="6"/>
    </row>
    <row r="388" ht="12.75" customHeight="1">
      <c r="P388" s="6"/>
    </row>
    <row r="389" ht="12.75" customHeight="1">
      <c r="P389" s="6"/>
    </row>
    <row r="390" ht="12.75" customHeight="1">
      <c r="P390" s="6"/>
    </row>
    <row r="391" ht="12.75" customHeight="1">
      <c r="P391" s="6"/>
    </row>
    <row r="392" ht="12.75" customHeight="1">
      <c r="P392" s="6"/>
    </row>
    <row r="393" ht="12.75" customHeight="1">
      <c r="P393" s="6"/>
    </row>
    <row r="394" ht="12.75" customHeight="1">
      <c r="P394" s="6"/>
    </row>
    <row r="395" ht="12.75" customHeight="1">
      <c r="P395" s="6"/>
    </row>
    <row r="396" ht="12.75" customHeight="1">
      <c r="P396" s="6"/>
    </row>
    <row r="397" ht="12.75" customHeight="1">
      <c r="P397" s="6"/>
    </row>
    <row r="398" ht="12.75" customHeight="1">
      <c r="P398" s="6"/>
    </row>
    <row r="399" ht="12.75" customHeight="1">
      <c r="P399" s="6"/>
    </row>
    <row r="400" ht="12.75" customHeight="1">
      <c r="P400" s="6"/>
    </row>
    <row r="401" ht="12.75" customHeight="1">
      <c r="P401" s="6"/>
    </row>
    <row r="402" ht="12.75" customHeight="1">
      <c r="P402" s="6"/>
    </row>
    <row r="403" ht="12.75" customHeight="1">
      <c r="P403" s="6"/>
    </row>
    <row r="404" ht="12.75" customHeight="1">
      <c r="P404" s="6"/>
    </row>
    <row r="405" ht="12.75" customHeight="1">
      <c r="P405" s="6"/>
    </row>
    <row r="406" ht="12.75" customHeight="1">
      <c r="P406" s="6"/>
    </row>
    <row r="407" ht="12.75" customHeight="1">
      <c r="P407" s="6"/>
    </row>
    <row r="408" ht="12.75" customHeight="1">
      <c r="P408" s="6"/>
    </row>
    <row r="409" ht="12.75" customHeight="1">
      <c r="P409" s="6"/>
    </row>
    <row r="410" ht="12.75" customHeight="1">
      <c r="P410" s="6"/>
    </row>
    <row r="411" ht="12.75" customHeight="1">
      <c r="P411" s="6"/>
    </row>
    <row r="412" ht="12.75" customHeight="1">
      <c r="P412" s="6"/>
    </row>
    <row r="413" ht="12.75" customHeight="1">
      <c r="P413" s="6"/>
    </row>
    <row r="414" ht="12.75" customHeight="1">
      <c r="P414" s="6"/>
    </row>
    <row r="415" ht="12.75" customHeight="1">
      <c r="P415" s="6"/>
    </row>
    <row r="416" ht="12.75" customHeight="1">
      <c r="P416" s="6"/>
    </row>
    <row r="417" ht="12.75" customHeight="1">
      <c r="P417" s="6"/>
    </row>
    <row r="418" ht="12.75" customHeight="1">
      <c r="P418" s="6"/>
    </row>
    <row r="419" ht="12.75" customHeight="1">
      <c r="P419" s="6"/>
    </row>
    <row r="420" ht="12.75" customHeight="1">
      <c r="P420" s="6"/>
    </row>
    <row r="421" ht="12.75" customHeight="1">
      <c r="P421" s="6"/>
    </row>
    <row r="422" ht="12.75" customHeight="1">
      <c r="P422" s="6"/>
    </row>
    <row r="423" ht="12.75" customHeight="1">
      <c r="P423" s="6"/>
    </row>
    <row r="424" ht="12.75" customHeight="1">
      <c r="P424" s="6"/>
    </row>
    <row r="425" ht="12.75" customHeight="1">
      <c r="P425" s="6"/>
    </row>
    <row r="426" ht="12.75" customHeight="1">
      <c r="P426" s="6"/>
    </row>
    <row r="427" ht="12.75" customHeight="1">
      <c r="P427" s="6"/>
    </row>
    <row r="428" ht="12.75" customHeight="1">
      <c r="P428" s="6"/>
    </row>
    <row r="429" ht="12.75" customHeight="1">
      <c r="P429" s="6"/>
    </row>
    <row r="430" ht="12.75" customHeight="1">
      <c r="P430" s="6"/>
    </row>
    <row r="431" ht="12.75" customHeight="1">
      <c r="P431" s="6"/>
    </row>
    <row r="432" ht="12.75" customHeight="1">
      <c r="P432" s="6"/>
    </row>
    <row r="433" ht="12.75" customHeight="1">
      <c r="P433" s="6"/>
    </row>
    <row r="434" ht="12.75" customHeight="1">
      <c r="P434" s="6"/>
    </row>
    <row r="435" ht="12.75" customHeight="1">
      <c r="P435" s="6"/>
    </row>
    <row r="436" ht="12.75" customHeight="1">
      <c r="P436" s="6"/>
    </row>
    <row r="437" ht="12.75" customHeight="1">
      <c r="P437" s="6"/>
    </row>
    <row r="438" ht="12.75" customHeight="1">
      <c r="P438" s="6"/>
    </row>
    <row r="439" ht="12.75" customHeight="1">
      <c r="P439" s="6"/>
    </row>
    <row r="440" ht="12.75" customHeight="1">
      <c r="P440" s="6"/>
    </row>
    <row r="441" ht="12.75" customHeight="1">
      <c r="P441" s="6"/>
    </row>
    <row r="442" ht="12.75" customHeight="1">
      <c r="P442" s="6"/>
    </row>
    <row r="443" ht="12.75" customHeight="1">
      <c r="P443" s="6"/>
    </row>
    <row r="444" ht="12.75" customHeight="1">
      <c r="P444" s="6"/>
    </row>
    <row r="445" ht="12.75" customHeight="1">
      <c r="P445" s="6"/>
    </row>
    <row r="446" ht="12.75" customHeight="1">
      <c r="P446" s="6"/>
    </row>
    <row r="447" ht="12.75" customHeight="1">
      <c r="P447" s="6"/>
    </row>
    <row r="448" ht="12.75" customHeight="1">
      <c r="P448" s="6"/>
    </row>
    <row r="449" ht="12.75" customHeight="1">
      <c r="P449" s="6"/>
    </row>
    <row r="450" ht="12.75" customHeight="1">
      <c r="P450" s="6"/>
    </row>
    <row r="451" ht="12.75" customHeight="1">
      <c r="P451" s="6"/>
    </row>
    <row r="452" ht="12.75" customHeight="1">
      <c r="P452" s="6"/>
    </row>
    <row r="453" ht="12.75" customHeight="1">
      <c r="P453" s="6"/>
    </row>
    <row r="454" ht="12.75" customHeight="1">
      <c r="P454" s="6"/>
    </row>
    <row r="455" ht="12.75" customHeight="1">
      <c r="P455" s="6"/>
    </row>
    <row r="456" ht="12.75" customHeight="1">
      <c r="P456" s="6"/>
    </row>
    <row r="457" ht="12.75" customHeight="1">
      <c r="P457" s="6"/>
    </row>
    <row r="458" ht="12.75" customHeight="1">
      <c r="P458" s="6"/>
    </row>
    <row r="459" ht="12.75" customHeight="1">
      <c r="P459" s="6"/>
    </row>
    <row r="460" ht="12.75" customHeight="1">
      <c r="P460" s="6"/>
    </row>
    <row r="461" ht="12.75" customHeight="1">
      <c r="P461" s="6"/>
    </row>
    <row r="462" ht="12.75" customHeight="1">
      <c r="P462" s="6"/>
    </row>
    <row r="463" ht="12.75" customHeight="1">
      <c r="P463" s="6"/>
    </row>
    <row r="464" ht="12.75" customHeight="1">
      <c r="P464" s="6"/>
    </row>
    <row r="465" ht="12.75" customHeight="1">
      <c r="P465" s="6"/>
    </row>
    <row r="466" ht="12.75" customHeight="1">
      <c r="P466" s="6"/>
    </row>
    <row r="467" ht="12.75" customHeight="1">
      <c r="P467" s="6"/>
    </row>
    <row r="468" ht="12.75" customHeight="1">
      <c r="P468" s="6"/>
    </row>
    <row r="469" ht="12.75" customHeight="1">
      <c r="P469" s="6"/>
    </row>
    <row r="470" ht="12.75" customHeight="1">
      <c r="P470" s="6"/>
    </row>
    <row r="471" ht="12.75" customHeight="1">
      <c r="P471" s="6"/>
    </row>
    <row r="472" ht="12.75" customHeight="1">
      <c r="P472" s="6"/>
    </row>
    <row r="473" ht="12.75" customHeight="1">
      <c r="P473" s="6"/>
    </row>
    <row r="474" ht="12.75" customHeight="1">
      <c r="P474" s="6"/>
    </row>
    <row r="475" ht="12.75" customHeight="1">
      <c r="P475" s="6"/>
    </row>
    <row r="476" ht="12.75" customHeight="1">
      <c r="P476" s="6"/>
    </row>
    <row r="477" ht="12.75" customHeight="1">
      <c r="P477" s="6"/>
    </row>
    <row r="478" ht="12.75" customHeight="1">
      <c r="P478" s="6"/>
    </row>
    <row r="479" ht="12.75" customHeight="1">
      <c r="P479" s="6"/>
    </row>
    <row r="480" ht="12.75" customHeight="1">
      <c r="P480" s="6"/>
    </row>
    <row r="481" ht="12.75" customHeight="1">
      <c r="P481" s="6"/>
    </row>
    <row r="482" ht="12.75" customHeight="1">
      <c r="P482" s="6"/>
    </row>
    <row r="483" ht="12.75" customHeight="1">
      <c r="P483" s="6"/>
    </row>
    <row r="484" ht="12.75" customHeight="1">
      <c r="P484" s="6"/>
    </row>
    <row r="485" ht="12.75" customHeight="1">
      <c r="P485" s="6"/>
    </row>
    <row r="486" ht="12.75" customHeight="1">
      <c r="P486" s="6"/>
    </row>
    <row r="487" ht="12.75" customHeight="1">
      <c r="P487" s="6"/>
    </row>
    <row r="488" ht="12.75" customHeight="1">
      <c r="P488" s="6"/>
    </row>
    <row r="489" ht="12.75" customHeight="1">
      <c r="P489" s="6"/>
    </row>
    <row r="490" ht="12.75" customHeight="1">
      <c r="P490" s="6"/>
    </row>
    <row r="491" ht="12.75" customHeight="1">
      <c r="P491" s="6"/>
    </row>
    <row r="492" ht="12.75" customHeight="1">
      <c r="P492" s="6"/>
    </row>
    <row r="493" ht="12.75" customHeight="1">
      <c r="P493" s="6"/>
    </row>
    <row r="494" ht="12.75" customHeight="1">
      <c r="P494" s="6"/>
    </row>
    <row r="495" ht="12.75" customHeight="1">
      <c r="P495" s="6"/>
    </row>
    <row r="496" ht="12.75" customHeight="1">
      <c r="P496" s="6"/>
    </row>
    <row r="497" ht="12.75" customHeight="1">
      <c r="P497" s="6"/>
    </row>
    <row r="498" ht="12.75" customHeight="1">
      <c r="P498" s="6"/>
    </row>
    <row r="499" ht="12.75" customHeight="1">
      <c r="P499" s="6"/>
    </row>
    <row r="500" ht="12.75" customHeight="1">
      <c r="P500" s="6"/>
    </row>
    <row r="501" ht="12.75" customHeight="1">
      <c r="P501" s="6"/>
    </row>
    <row r="502" ht="12.75" customHeight="1">
      <c r="P502" s="6"/>
    </row>
    <row r="503" ht="12.75" customHeight="1">
      <c r="P503" s="6"/>
    </row>
    <row r="504" ht="12.75" customHeight="1">
      <c r="P504" s="6"/>
    </row>
    <row r="505" ht="12.75" customHeight="1">
      <c r="P505" s="6"/>
    </row>
    <row r="506" ht="12.75" customHeight="1">
      <c r="P506" s="6"/>
    </row>
    <row r="507" ht="12.75" customHeight="1">
      <c r="P507" s="6"/>
    </row>
    <row r="508" ht="12.75" customHeight="1">
      <c r="P508" s="6"/>
    </row>
    <row r="509" ht="12.75" customHeight="1">
      <c r="P509" s="6"/>
    </row>
    <row r="510" ht="12.75" customHeight="1">
      <c r="P510" s="6"/>
    </row>
    <row r="511" ht="12.75" customHeight="1">
      <c r="P511" s="6"/>
    </row>
    <row r="512" ht="12.75" customHeight="1">
      <c r="P512" s="6"/>
    </row>
    <row r="513" ht="12.75" customHeight="1">
      <c r="P513" s="6"/>
    </row>
    <row r="514" ht="12.75" customHeight="1">
      <c r="P514" s="6"/>
    </row>
    <row r="515" ht="12.75" customHeight="1">
      <c r="P515" s="6"/>
    </row>
    <row r="516" ht="12.75" customHeight="1">
      <c r="P516" s="6"/>
    </row>
    <row r="517" ht="12.75" customHeight="1">
      <c r="P517" s="6"/>
    </row>
    <row r="518" ht="12.75" customHeight="1">
      <c r="P518" s="6"/>
    </row>
    <row r="519" ht="12.75" customHeight="1">
      <c r="P519" s="6"/>
    </row>
    <row r="520" ht="12.75" customHeight="1">
      <c r="P520" s="6"/>
    </row>
    <row r="521" ht="12.75" customHeight="1">
      <c r="P521" s="6"/>
    </row>
    <row r="522" ht="12.75" customHeight="1">
      <c r="P522" s="6"/>
    </row>
    <row r="523" ht="12.75" customHeight="1">
      <c r="P523" s="6"/>
    </row>
    <row r="524" ht="12.75" customHeight="1">
      <c r="P524" s="6"/>
    </row>
    <row r="525" ht="12.75" customHeight="1">
      <c r="P525" s="6"/>
    </row>
    <row r="526" ht="12.75" customHeight="1">
      <c r="P526" s="6"/>
    </row>
    <row r="527" ht="12.75" customHeight="1">
      <c r="P527" s="6"/>
    </row>
    <row r="528" ht="12.75" customHeight="1">
      <c r="P528" s="6"/>
    </row>
    <row r="529" ht="12.75" customHeight="1">
      <c r="P529" s="6"/>
    </row>
    <row r="530" ht="12.75" customHeight="1">
      <c r="P530" s="6"/>
    </row>
    <row r="531" ht="12.75" customHeight="1">
      <c r="P531" s="6"/>
    </row>
    <row r="532" ht="12.75" customHeight="1">
      <c r="P532" s="6"/>
    </row>
    <row r="533" ht="12.75" customHeight="1">
      <c r="P533" s="6"/>
    </row>
    <row r="534" ht="12.75" customHeight="1">
      <c r="P534" s="6"/>
    </row>
    <row r="535" ht="12.75" customHeight="1">
      <c r="P535" s="6"/>
    </row>
    <row r="536" ht="12.75" customHeight="1">
      <c r="P536" s="6"/>
    </row>
    <row r="537" ht="12.75" customHeight="1">
      <c r="P537" s="6"/>
    </row>
    <row r="538" ht="12.75" customHeight="1">
      <c r="P538" s="6"/>
    </row>
    <row r="539" ht="12.75" customHeight="1">
      <c r="P539" s="6"/>
    </row>
    <row r="540" ht="12.75" customHeight="1">
      <c r="P540" s="6"/>
    </row>
    <row r="541" ht="12.75" customHeight="1">
      <c r="P541" s="6"/>
    </row>
    <row r="542" ht="12.75" customHeight="1">
      <c r="P542" s="6"/>
    </row>
    <row r="543" ht="12.75" customHeight="1">
      <c r="P543" s="6"/>
    </row>
    <row r="544" ht="12.75" customHeight="1">
      <c r="P544" s="6"/>
    </row>
    <row r="545" ht="12.75" customHeight="1">
      <c r="P545" s="6"/>
    </row>
    <row r="546" ht="12.75" customHeight="1">
      <c r="P546" s="6"/>
    </row>
    <row r="547" ht="12.75" customHeight="1">
      <c r="P547" s="6"/>
    </row>
    <row r="548" ht="12.75" customHeight="1">
      <c r="P548" s="6"/>
    </row>
    <row r="549" ht="12.75" customHeight="1">
      <c r="P549" s="6"/>
    </row>
    <row r="550" ht="12.75" customHeight="1">
      <c r="P550" s="6"/>
    </row>
    <row r="551" ht="12.75" customHeight="1">
      <c r="P551" s="6"/>
    </row>
    <row r="552" ht="12.75" customHeight="1">
      <c r="P552" s="6"/>
    </row>
    <row r="553" ht="12.75" customHeight="1">
      <c r="P553" s="6"/>
    </row>
    <row r="554" ht="12.75" customHeight="1">
      <c r="P554" s="6"/>
    </row>
    <row r="555" ht="12.75" customHeight="1">
      <c r="P555" s="6"/>
    </row>
    <row r="556" ht="12.75" customHeight="1">
      <c r="P556" s="6"/>
    </row>
    <row r="557" ht="12.75" customHeight="1">
      <c r="P557" s="6"/>
    </row>
    <row r="558" ht="12.75" customHeight="1">
      <c r="P558" s="6"/>
    </row>
    <row r="559" ht="12.75" customHeight="1">
      <c r="P559" s="6"/>
    </row>
    <row r="560" ht="12.75" customHeight="1">
      <c r="P560" s="6"/>
    </row>
    <row r="561" ht="12.75" customHeight="1">
      <c r="P561" s="6"/>
    </row>
    <row r="562" ht="12.75" customHeight="1">
      <c r="P562" s="6"/>
    </row>
    <row r="563" ht="12.75" customHeight="1">
      <c r="P563" s="6"/>
    </row>
    <row r="564" ht="12.75" customHeight="1">
      <c r="P564" s="6"/>
    </row>
    <row r="565" ht="12.75" customHeight="1">
      <c r="P565" s="6"/>
    </row>
    <row r="566" ht="12.75" customHeight="1">
      <c r="P566" s="6"/>
    </row>
    <row r="567" ht="12.75" customHeight="1">
      <c r="P567" s="6"/>
    </row>
    <row r="568" ht="12.75" customHeight="1">
      <c r="P568" s="6"/>
    </row>
    <row r="569" ht="12.75" customHeight="1">
      <c r="P569" s="6"/>
    </row>
    <row r="570" ht="12.75" customHeight="1">
      <c r="P570" s="6"/>
    </row>
    <row r="571" ht="12.75" customHeight="1">
      <c r="P571" s="6"/>
    </row>
    <row r="572" ht="12.75" customHeight="1">
      <c r="P572" s="6"/>
    </row>
    <row r="573" ht="12.75" customHeight="1">
      <c r="P573" s="6"/>
    </row>
    <row r="574" ht="12.75" customHeight="1">
      <c r="P574" s="6"/>
    </row>
    <row r="575" ht="12.75" customHeight="1">
      <c r="P575" s="6"/>
    </row>
    <row r="576" ht="12.75" customHeight="1">
      <c r="P576" s="6"/>
    </row>
    <row r="577" ht="12.75" customHeight="1">
      <c r="P577" s="6"/>
    </row>
    <row r="578" ht="12.75" customHeight="1">
      <c r="P578" s="6"/>
    </row>
    <row r="579" ht="12.75" customHeight="1">
      <c r="P579" s="6"/>
    </row>
    <row r="580" ht="12.75" customHeight="1">
      <c r="P580" s="6"/>
    </row>
    <row r="581" ht="12.75" customHeight="1">
      <c r="P581" s="6"/>
    </row>
    <row r="582" ht="12.75" customHeight="1">
      <c r="P582" s="6"/>
    </row>
    <row r="583" ht="12.75" customHeight="1">
      <c r="P583" s="6"/>
    </row>
    <row r="584" ht="12.75" customHeight="1">
      <c r="P584" s="6"/>
    </row>
    <row r="585" ht="12.75" customHeight="1">
      <c r="P585" s="6"/>
    </row>
    <row r="586" ht="12.75" customHeight="1">
      <c r="P586" s="6"/>
    </row>
    <row r="587" ht="12.75" customHeight="1">
      <c r="P587" s="6"/>
    </row>
    <row r="588" ht="12.75" customHeight="1">
      <c r="P588" s="6"/>
    </row>
    <row r="589" ht="12.75" customHeight="1">
      <c r="P589" s="6"/>
    </row>
    <row r="590" ht="12.75" customHeight="1">
      <c r="P590" s="6"/>
    </row>
    <row r="591" ht="12.75" customHeight="1">
      <c r="P591" s="6"/>
    </row>
    <row r="592" ht="12.75" customHeight="1">
      <c r="P592" s="6"/>
    </row>
    <row r="593" ht="12.75" customHeight="1">
      <c r="P593" s="6"/>
    </row>
    <row r="594" ht="12.75" customHeight="1">
      <c r="P594" s="6"/>
    </row>
    <row r="595" ht="12.75" customHeight="1">
      <c r="P595" s="6"/>
    </row>
    <row r="596" ht="12.75" customHeight="1">
      <c r="P596" s="6"/>
    </row>
    <row r="597" ht="12.75" customHeight="1">
      <c r="P597" s="6"/>
    </row>
    <row r="598" ht="12.75" customHeight="1">
      <c r="P598" s="6"/>
    </row>
    <row r="599" ht="12.75" customHeight="1">
      <c r="P599" s="6"/>
    </row>
    <row r="600" ht="12.75" customHeight="1">
      <c r="P600" s="6"/>
    </row>
    <row r="601" ht="12.75" customHeight="1">
      <c r="P601" s="6"/>
    </row>
    <row r="602" ht="12.75" customHeight="1">
      <c r="P602" s="6"/>
    </row>
    <row r="603" ht="12.75" customHeight="1">
      <c r="P603" s="6"/>
    </row>
    <row r="604" ht="12.75" customHeight="1">
      <c r="P604" s="6"/>
    </row>
    <row r="605" ht="12.75" customHeight="1">
      <c r="P605" s="6"/>
    </row>
    <row r="606" ht="12.75" customHeight="1">
      <c r="P606" s="6"/>
    </row>
    <row r="607" ht="12.75" customHeight="1">
      <c r="P607" s="6"/>
    </row>
    <row r="608" ht="12.75" customHeight="1">
      <c r="P608" s="6"/>
    </row>
    <row r="609" ht="12.75" customHeight="1">
      <c r="P609" s="6"/>
    </row>
    <row r="610" ht="12.75" customHeight="1">
      <c r="P610" s="6"/>
    </row>
    <row r="611" ht="12.75" customHeight="1">
      <c r="P611" s="6"/>
    </row>
    <row r="612" ht="12.75" customHeight="1">
      <c r="P612" s="6"/>
    </row>
    <row r="613" ht="12.75" customHeight="1">
      <c r="P613" s="6"/>
    </row>
    <row r="614" ht="12.75" customHeight="1">
      <c r="P614" s="6"/>
    </row>
    <row r="615" ht="12.75" customHeight="1">
      <c r="P615" s="6"/>
    </row>
    <row r="616" ht="12.75" customHeight="1">
      <c r="P616" s="6"/>
    </row>
    <row r="617" ht="12.75" customHeight="1">
      <c r="P617" s="6"/>
    </row>
    <row r="618" ht="12.75" customHeight="1">
      <c r="P618" s="6"/>
    </row>
    <row r="619" ht="12.75" customHeight="1">
      <c r="P619" s="6"/>
    </row>
    <row r="620" ht="12.75" customHeight="1">
      <c r="P620" s="6"/>
    </row>
    <row r="621" ht="12.75" customHeight="1">
      <c r="P621" s="6"/>
    </row>
    <row r="622" ht="12.75" customHeight="1">
      <c r="P622" s="6"/>
    </row>
    <row r="623" ht="12.75" customHeight="1">
      <c r="P623" s="6"/>
    </row>
    <row r="624" ht="12.75" customHeight="1">
      <c r="P624" s="6"/>
    </row>
    <row r="625" ht="12.75" customHeight="1">
      <c r="P625" s="6"/>
    </row>
    <row r="626" ht="12.75" customHeight="1">
      <c r="P626" s="6"/>
    </row>
    <row r="627" ht="12.75" customHeight="1">
      <c r="P627" s="6"/>
    </row>
    <row r="628" ht="12.75" customHeight="1">
      <c r="P628" s="6"/>
    </row>
    <row r="629" ht="12.75" customHeight="1">
      <c r="P629" s="6"/>
    </row>
    <row r="630" ht="12.75" customHeight="1">
      <c r="P630" s="6"/>
    </row>
    <row r="631" ht="12.75" customHeight="1">
      <c r="P631" s="6"/>
    </row>
    <row r="632" ht="12.75" customHeight="1">
      <c r="P632" s="6"/>
    </row>
    <row r="633" ht="12.75" customHeight="1">
      <c r="P633" s="6"/>
    </row>
    <row r="634" ht="12.75" customHeight="1">
      <c r="P634" s="6"/>
    </row>
    <row r="635" ht="12.75" customHeight="1">
      <c r="P635" s="6"/>
    </row>
    <row r="636" ht="12.75" customHeight="1">
      <c r="P636" s="6"/>
    </row>
    <row r="637" ht="12.75" customHeight="1">
      <c r="P637" s="6"/>
    </row>
    <row r="638" ht="12.75" customHeight="1">
      <c r="P638" s="6"/>
    </row>
    <row r="639" ht="12.75" customHeight="1">
      <c r="P639" s="6"/>
    </row>
    <row r="640" ht="12.75" customHeight="1">
      <c r="P640" s="6"/>
    </row>
    <row r="641" ht="12.75" customHeight="1">
      <c r="P641" s="6"/>
    </row>
    <row r="642" ht="12.75" customHeight="1">
      <c r="P642" s="6"/>
    </row>
    <row r="643" ht="12.75" customHeight="1">
      <c r="P643" s="6"/>
    </row>
    <row r="644" ht="12.75" customHeight="1">
      <c r="P644" s="6"/>
    </row>
    <row r="645" ht="12.75" customHeight="1">
      <c r="P645" s="6"/>
    </row>
    <row r="646" ht="12.75" customHeight="1">
      <c r="P646" s="6"/>
    </row>
    <row r="647" ht="12.75" customHeight="1">
      <c r="P647" s="6"/>
    </row>
    <row r="648" ht="12.75" customHeight="1">
      <c r="P648" s="6"/>
    </row>
    <row r="649" ht="12.75" customHeight="1">
      <c r="P649" s="6"/>
    </row>
    <row r="650" ht="12.75" customHeight="1">
      <c r="P650" s="6"/>
    </row>
    <row r="651" ht="12.75" customHeight="1">
      <c r="P651" s="6"/>
    </row>
    <row r="652" ht="12.75" customHeight="1">
      <c r="P652" s="6"/>
    </row>
    <row r="653" ht="12.75" customHeight="1">
      <c r="P653" s="6"/>
    </row>
    <row r="654" ht="12.75" customHeight="1">
      <c r="P654" s="6"/>
    </row>
    <row r="655" ht="12.75" customHeight="1">
      <c r="P655" s="6"/>
    </row>
    <row r="656" ht="12.75" customHeight="1">
      <c r="P656" s="6"/>
    </row>
    <row r="657" ht="12.75" customHeight="1">
      <c r="P657" s="6"/>
    </row>
    <row r="658" ht="12.75" customHeight="1">
      <c r="P658" s="6"/>
    </row>
    <row r="659" ht="12.75" customHeight="1">
      <c r="P659" s="6"/>
    </row>
    <row r="660" ht="12.75" customHeight="1">
      <c r="P660" s="6"/>
    </row>
    <row r="661" ht="12.75" customHeight="1">
      <c r="P661" s="6"/>
    </row>
    <row r="662" ht="12.75" customHeight="1">
      <c r="P662" s="6"/>
    </row>
    <row r="663" ht="12.75" customHeight="1">
      <c r="P663" s="6"/>
    </row>
    <row r="664" ht="12.75" customHeight="1">
      <c r="P664" s="6"/>
    </row>
    <row r="665" ht="12.75" customHeight="1">
      <c r="P665" s="6"/>
    </row>
    <row r="666" ht="12.75" customHeight="1">
      <c r="P666" s="6"/>
    </row>
    <row r="667" ht="12.75" customHeight="1">
      <c r="P667" s="6"/>
    </row>
    <row r="668" ht="12.75" customHeight="1">
      <c r="P668" s="6"/>
    </row>
    <row r="669" ht="12.75" customHeight="1">
      <c r="P669" s="6"/>
    </row>
    <row r="670" ht="12.75" customHeight="1">
      <c r="P670" s="6"/>
    </row>
    <row r="671" ht="12.75" customHeight="1">
      <c r="P671" s="6"/>
    </row>
    <row r="672" ht="12.75" customHeight="1">
      <c r="P672" s="6"/>
    </row>
    <row r="673" ht="12.75" customHeight="1">
      <c r="P673" s="6"/>
    </row>
    <row r="674" ht="12.75" customHeight="1">
      <c r="P674" s="6"/>
    </row>
    <row r="675" ht="12.75" customHeight="1">
      <c r="P675" s="6"/>
    </row>
    <row r="676" ht="12.75" customHeight="1">
      <c r="P676" s="6"/>
    </row>
    <row r="677" ht="12.75" customHeight="1">
      <c r="P677" s="6"/>
    </row>
    <row r="678" ht="12.75" customHeight="1">
      <c r="P678" s="6"/>
    </row>
    <row r="679" ht="12.75" customHeight="1">
      <c r="P679" s="6"/>
    </row>
    <row r="680" ht="12.75" customHeight="1">
      <c r="P680" s="6"/>
    </row>
    <row r="681" ht="12.75" customHeight="1">
      <c r="P681" s="6"/>
    </row>
    <row r="682" ht="12.75" customHeight="1">
      <c r="P682" s="6"/>
    </row>
    <row r="683" ht="12.75" customHeight="1">
      <c r="P683" s="6"/>
    </row>
    <row r="684" ht="12.75" customHeight="1">
      <c r="P684" s="6"/>
    </row>
    <row r="685" ht="12.75" customHeight="1">
      <c r="P685" s="6"/>
    </row>
    <row r="686" ht="12.75" customHeight="1">
      <c r="P686" s="6"/>
    </row>
    <row r="687" ht="12.75" customHeight="1">
      <c r="P687" s="6"/>
    </row>
    <row r="688" ht="12.75" customHeight="1">
      <c r="P688" s="6"/>
    </row>
    <row r="689" ht="12.75" customHeight="1">
      <c r="P689" s="6"/>
    </row>
    <row r="690" ht="12.75" customHeight="1">
      <c r="P690" s="6"/>
    </row>
    <row r="691" ht="12.75" customHeight="1">
      <c r="P691" s="6"/>
    </row>
    <row r="692" ht="12.75" customHeight="1">
      <c r="P692" s="6"/>
    </row>
    <row r="693" ht="12.75" customHeight="1">
      <c r="P693" s="6"/>
    </row>
    <row r="694" ht="12.75" customHeight="1">
      <c r="P694" s="6"/>
    </row>
    <row r="695" ht="12.75" customHeight="1">
      <c r="P695" s="6"/>
    </row>
    <row r="696" ht="12.75" customHeight="1">
      <c r="P696" s="6"/>
    </row>
    <row r="697" ht="12.75" customHeight="1">
      <c r="P697" s="6"/>
    </row>
    <row r="698" ht="12.75" customHeight="1">
      <c r="P698" s="6"/>
    </row>
    <row r="699" ht="12.75" customHeight="1">
      <c r="P699" s="6"/>
    </row>
    <row r="700" ht="12.75" customHeight="1">
      <c r="P700" s="6"/>
    </row>
    <row r="701" ht="12.75" customHeight="1">
      <c r="P701" s="6"/>
    </row>
    <row r="702" ht="12.75" customHeight="1">
      <c r="P702" s="6"/>
    </row>
    <row r="703" ht="12.75" customHeight="1">
      <c r="P703" s="6"/>
    </row>
    <row r="704" ht="12.75" customHeight="1">
      <c r="P704" s="6"/>
    </row>
    <row r="705" ht="12.75" customHeight="1">
      <c r="P705" s="6"/>
    </row>
    <row r="706" ht="12.75" customHeight="1">
      <c r="P706" s="6"/>
    </row>
    <row r="707" ht="12.75" customHeight="1">
      <c r="P707" s="6"/>
    </row>
    <row r="708" ht="12.75" customHeight="1">
      <c r="P708" s="6"/>
    </row>
    <row r="709" ht="12.75" customHeight="1">
      <c r="P709" s="6"/>
    </row>
    <row r="710" ht="12.75" customHeight="1">
      <c r="P710" s="6"/>
    </row>
    <row r="711" ht="12.75" customHeight="1">
      <c r="P711" s="6"/>
    </row>
    <row r="712" ht="12.75" customHeight="1">
      <c r="P712" s="6"/>
    </row>
    <row r="713" ht="12.75" customHeight="1">
      <c r="P713" s="6"/>
    </row>
    <row r="714" ht="12.75" customHeight="1">
      <c r="P714" s="6"/>
    </row>
    <row r="715" ht="12.75" customHeight="1">
      <c r="P715" s="6"/>
    </row>
    <row r="716" ht="12.75" customHeight="1">
      <c r="P716" s="6"/>
    </row>
    <row r="717" ht="12.75" customHeight="1">
      <c r="P717" s="6"/>
    </row>
    <row r="718" ht="12.75" customHeight="1">
      <c r="P718" s="6"/>
    </row>
    <row r="719" ht="12.75" customHeight="1">
      <c r="P719" s="6"/>
    </row>
    <row r="720" ht="12.75" customHeight="1">
      <c r="P720" s="6"/>
    </row>
    <row r="721" ht="12.75" customHeight="1">
      <c r="P721" s="6"/>
    </row>
    <row r="722" ht="12.75" customHeight="1">
      <c r="P722" s="6"/>
    </row>
    <row r="723" ht="12.75" customHeight="1">
      <c r="P723" s="6"/>
    </row>
    <row r="724" ht="12.75" customHeight="1">
      <c r="P724" s="6"/>
    </row>
    <row r="725" ht="12.75" customHeight="1">
      <c r="P725" s="6"/>
    </row>
    <row r="726" ht="12.75" customHeight="1">
      <c r="P726" s="6"/>
    </row>
    <row r="727" ht="12.75" customHeight="1">
      <c r="P727" s="6"/>
    </row>
    <row r="728" ht="12.75" customHeight="1">
      <c r="P728" s="6"/>
    </row>
    <row r="729" ht="12.75" customHeight="1">
      <c r="P729" s="6"/>
    </row>
    <row r="730" ht="12.75" customHeight="1">
      <c r="P730" s="6"/>
    </row>
    <row r="731" ht="12.75" customHeight="1">
      <c r="P731" s="6"/>
    </row>
    <row r="732" ht="12.75" customHeight="1">
      <c r="P732" s="6"/>
    </row>
    <row r="733" ht="12.75" customHeight="1">
      <c r="P733" s="6"/>
    </row>
    <row r="734" ht="12.75" customHeight="1">
      <c r="P734" s="6"/>
    </row>
    <row r="735" ht="12.75" customHeight="1">
      <c r="P735" s="6"/>
    </row>
    <row r="736" ht="12.75" customHeight="1">
      <c r="P736" s="6"/>
    </row>
    <row r="737" ht="12.75" customHeight="1">
      <c r="P737" s="6"/>
    </row>
    <row r="738" ht="12.75" customHeight="1">
      <c r="P738" s="6"/>
    </row>
    <row r="739" ht="12.75" customHeight="1">
      <c r="P739" s="6"/>
    </row>
    <row r="740" ht="12.75" customHeight="1">
      <c r="P740" s="6"/>
    </row>
    <row r="741" ht="12.75" customHeight="1">
      <c r="P741" s="6"/>
    </row>
    <row r="742" ht="12.75" customHeight="1">
      <c r="P742" s="6"/>
    </row>
    <row r="743" ht="12.75" customHeight="1">
      <c r="P743" s="6"/>
    </row>
    <row r="744" ht="12.75" customHeight="1">
      <c r="P744" s="6"/>
    </row>
    <row r="745" ht="12.75" customHeight="1">
      <c r="P745" s="6"/>
    </row>
    <row r="746" ht="12.75" customHeight="1">
      <c r="P746" s="6"/>
    </row>
    <row r="747" ht="12.75" customHeight="1">
      <c r="P747" s="6"/>
    </row>
    <row r="748" ht="12.75" customHeight="1">
      <c r="P748" s="6"/>
    </row>
    <row r="749" ht="12.75" customHeight="1">
      <c r="P749" s="6"/>
    </row>
    <row r="750" ht="12.75" customHeight="1">
      <c r="P750" s="6"/>
    </row>
    <row r="751" ht="12.75" customHeight="1">
      <c r="P751" s="6"/>
    </row>
    <row r="752" ht="12.75" customHeight="1">
      <c r="P752" s="6"/>
    </row>
    <row r="753" ht="12.75" customHeight="1">
      <c r="P753" s="6"/>
    </row>
    <row r="754" ht="12.75" customHeight="1">
      <c r="P754" s="6"/>
    </row>
    <row r="755" ht="12.75" customHeight="1">
      <c r="P755" s="6"/>
    </row>
    <row r="756" ht="12.75" customHeight="1">
      <c r="P756" s="6"/>
    </row>
    <row r="757" ht="12.75" customHeight="1">
      <c r="P757" s="6"/>
    </row>
    <row r="758" ht="12.75" customHeight="1">
      <c r="P758" s="6"/>
    </row>
    <row r="759" ht="12.75" customHeight="1">
      <c r="P759" s="6"/>
    </row>
    <row r="760" ht="12.75" customHeight="1">
      <c r="P760" s="6"/>
    </row>
    <row r="761" ht="12.75" customHeight="1">
      <c r="P761" s="6"/>
    </row>
    <row r="762" ht="12.75" customHeight="1">
      <c r="P762" s="6"/>
    </row>
    <row r="763" ht="12.75" customHeight="1">
      <c r="P763" s="6"/>
    </row>
    <row r="764" ht="12.75" customHeight="1">
      <c r="P764" s="6"/>
    </row>
    <row r="765" ht="12.75" customHeight="1">
      <c r="P765" s="6"/>
    </row>
    <row r="766" ht="12.75" customHeight="1">
      <c r="P766" s="6"/>
    </row>
    <row r="767" ht="12.75" customHeight="1">
      <c r="P767" s="6"/>
    </row>
    <row r="768" ht="12.75" customHeight="1">
      <c r="P768" s="6"/>
    </row>
    <row r="769" ht="12.75" customHeight="1">
      <c r="P769" s="6"/>
    </row>
    <row r="770" ht="12.75" customHeight="1">
      <c r="P770" s="6"/>
    </row>
    <row r="771" ht="12.75" customHeight="1">
      <c r="P771" s="6"/>
    </row>
    <row r="772" ht="12.75" customHeight="1">
      <c r="P772" s="6"/>
    </row>
    <row r="773" ht="12.75" customHeight="1">
      <c r="P773" s="6"/>
    </row>
    <row r="774" ht="12.75" customHeight="1">
      <c r="P774" s="6"/>
    </row>
    <row r="775" ht="12.75" customHeight="1">
      <c r="P775" s="6"/>
    </row>
    <row r="776" ht="12.75" customHeight="1">
      <c r="P776" s="6"/>
    </row>
    <row r="777" ht="12.75" customHeight="1">
      <c r="P777" s="6"/>
    </row>
    <row r="778" ht="12.75" customHeight="1">
      <c r="P778" s="6"/>
    </row>
    <row r="779" ht="12.75" customHeight="1">
      <c r="P779" s="6"/>
    </row>
    <row r="780" ht="12.75" customHeight="1">
      <c r="P780" s="6"/>
    </row>
    <row r="781" ht="12.75" customHeight="1">
      <c r="P781" s="6"/>
    </row>
    <row r="782" ht="12.75" customHeight="1">
      <c r="P782" s="6"/>
    </row>
    <row r="783" ht="12.75" customHeight="1">
      <c r="P783" s="6"/>
    </row>
    <row r="784" ht="12.75" customHeight="1">
      <c r="P784" s="6"/>
    </row>
    <row r="785" ht="12.75" customHeight="1">
      <c r="P785" s="6"/>
    </row>
    <row r="786" ht="12.75" customHeight="1">
      <c r="P786" s="6"/>
    </row>
    <row r="787" ht="12.75" customHeight="1">
      <c r="P787" s="6"/>
    </row>
    <row r="788" ht="12.75" customHeight="1">
      <c r="P788" s="6"/>
    </row>
    <row r="789" ht="12.75" customHeight="1">
      <c r="P789" s="6"/>
    </row>
    <row r="790" ht="12.75" customHeight="1">
      <c r="P790" s="6"/>
    </row>
    <row r="791" ht="12.75" customHeight="1">
      <c r="P791" s="6"/>
    </row>
    <row r="792" ht="12.75" customHeight="1">
      <c r="P792" s="6"/>
    </row>
    <row r="793" ht="12.75" customHeight="1">
      <c r="P793" s="6"/>
    </row>
    <row r="794" ht="12.75" customHeight="1">
      <c r="P794" s="6"/>
    </row>
    <row r="795" ht="12.75" customHeight="1">
      <c r="P795" s="6"/>
    </row>
    <row r="796" ht="12.75" customHeight="1">
      <c r="P796" s="6"/>
    </row>
    <row r="797" ht="12.75" customHeight="1">
      <c r="P797" s="6"/>
    </row>
    <row r="798" ht="12.75" customHeight="1">
      <c r="P798" s="6"/>
    </row>
    <row r="799" ht="12.75" customHeight="1">
      <c r="P799" s="6"/>
    </row>
    <row r="800" ht="12.75" customHeight="1">
      <c r="P800" s="6"/>
    </row>
    <row r="801" ht="12.75" customHeight="1">
      <c r="P801" s="6"/>
    </row>
    <row r="802" ht="12.75" customHeight="1">
      <c r="P802" s="6"/>
    </row>
    <row r="803" ht="12.75" customHeight="1">
      <c r="P803" s="6"/>
    </row>
    <row r="804" ht="12.75" customHeight="1">
      <c r="P804" s="6"/>
    </row>
    <row r="805" ht="12.75" customHeight="1">
      <c r="P805" s="6"/>
    </row>
    <row r="806" ht="12.75" customHeight="1">
      <c r="P806" s="6"/>
    </row>
    <row r="807" ht="12.75" customHeight="1">
      <c r="P807" s="6"/>
    </row>
    <row r="808" ht="12.75" customHeight="1">
      <c r="P808" s="6"/>
    </row>
    <row r="809" ht="12.75" customHeight="1">
      <c r="P809" s="6"/>
    </row>
    <row r="810" ht="12.75" customHeight="1">
      <c r="P810" s="6"/>
    </row>
    <row r="811" ht="12.75" customHeight="1">
      <c r="P811" s="6"/>
    </row>
    <row r="812" ht="12.75" customHeight="1">
      <c r="P812" s="6"/>
    </row>
    <row r="813" ht="12.75" customHeight="1">
      <c r="P813" s="6"/>
    </row>
    <row r="814" ht="12.75" customHeight="1">
      <c r="P814" s="6"/>
    </row>
    <row r="815" ht="12.75" customHeight="1">
      <c r="P815" s="6"/>
    </row>
    <row r="816" ht="12.75" customHeight="1">
      <c r="P816" s="6"/>
    </row>
    <row r="817" ht="12.75" customHeight="1">
      <c r="P817" s="6"/>
    </row>
    <row r="818" ht="12.75" customHeight="1">
      <c r="P818" s="6"/>
    </row>
    <row r="819" ht="12.75" customHeight="1">
      <c r="P819" s="6"/>
    </row>
    <row r="820" ht="12.75" customHeight="1">
      <c r="P820" s="6"/>
    </row>
    <row r="821" ht="12.75" customHeight="1">
      <c r="P821" s="6"/>
    </row>
    <row r="822" ht="12.75" customHeight="1">
      <c r="P822" s="6"/>
    </row>
    <row r="823" ht="12.75" customHeight="1">
      <c r="P823" s="6"/>
    </row>
    <row r="824" ht="12.75" customHeight="1">
      <c r="P824" s="6"/>
    </row>
    <row r="825" ht="12.75" customHeight="1">
      <c r="P825" s="6"/>
    </row>
    <row r="826" ht="12.75" customHeight="1">
      <c r="P826" s="6"/>
    </row>
    <row r="827" ht="12.75" customHeight="1">
      <c r="P827" s="6"/>
    </row>
    <row r="828" ht="12.75" customHeight="1">
      <c r="P828" s="6"/>
    </row>
    <row r="829" ht="12.75" customHeight="1">
      <c r="P829" s="6"/>
    </row>
    <row r="830" ht="12.75" customHeight="1">
      <c r="P830" s="6"/>
    </row>
    <row r="831" ht="12.75" customHeight="1">
      <c r="P831" s="6"/>
    </row>
    <row r="832" ht="12.75" customHeight="1">
      <c r="P832" s="6"/>
    </row>
    <row r="833" ht="12.75" customHeight="1">
      <c r="P833" s="6"/>
    </row>
    <row r="834" ht="12.75" customHeight="1">
      <c r="P834" s="6"/>
    </row>
    <row r="835" ht="12.75" customHeight="1">
      <c r="P835" s="6"/>
    </row>
    <row r="836" ht="12.75" customHeight="1">
      <c r="P836" s="6"/>
    </row>
    <row r="837" ht="12.75" customHeight="1">
      <c r="P837" s="6"/>
    </row>
    <row r="838" ht="12.75" customHeight="1">
      <c r="P838" s="6"/>
    </row>
    <row r="839" ht="12.75" customHeight="1">
      <c r="P839" s="6"/>
    </row>
    <row r="840" ht="12.75" customHeight="1">
      <c r="P840" s="6"/>
    </row>
    <row r="841" ht="12.75" customHeight="1">
      <c r="P841" s="6"/>
    </row>
    <row r="842" ht="12.75" customHeight="1">
      <c r="P842" s="6"/>
    </row>
    <row r="843" ht="12.75" customHeight="1">
      <c r="P843" s="6"/>
    </row>
    <row r="844" ht="12.75" customHeight="1">
      <c r="P844" s="6"/>
    </row>
    <row r="845" ht="12.75" customHeight="1">
      <c r="P845" s="6"/>
    </row>
    <row r="846" ht="12.75" customHeight="1">
      <c r="P846" s="6"/>
    </row>
    <row r="847" ht="12.75" customHeight="1">
      <c r="P847" s="6"/>
    </row>
    <row r="848" ht="12.75" customHeight="1">
      <c r="P848" s="6"/>
    </row>
    <row r="849" ht="12.75" customHeight="1">
      <c r="P849" s="6"/>
    </row>
    <row r="850" ht="12.75" customHeight="1">
      <c r="P850" s="6"/>
    </row>
    <row r="851" ht="12.75" customHeight="1">
      <c r="P851" s="6"/>
    </row>
    <row r="852" ht="12.75" customHeight="1">
      <c r="P852" s="6"/>
    </row>
    <row r="853" ht="12.75" customHeight="1">
      <c r="P853" s="6"/>
    </row>
    <row r="854" ht="12.75" customHeight="1">
      <c r="P854" s="6"/>
    </row>
    <row r="855" ht="12.75" customHeight="1">
      <c r="P855" s="6"/>
    </row>
    <row r="856" ht="12.75" customHeight="1">
      <c r="P856" s="6"/>
    </row>
    <row r="857" ht="12.75" customHeight="1">
      <c r="P857" s="6"/>
    </row>
    <row r="858" ht="12.75" customHeight="1">
      <c r="P858" s="6"/>
    </row>
    <row r="859" ht="12.75" customHeight="1">
      <c r="P859" s="6"/>
    </row>
    <row r="860" ht="12.75" customHeight="1">
      <c r="P860" s="6"/>
    </row>
    <row r="861" ht="12.75" customHeight="1">
      <c r="P861" s="6"/>
    </row>
    <row r="862" ht="12.75" customHeight="1">
      <c r="P862" s="6"/>
    </row>
    <row r="863" ht="12.75" customHeight="1">
      <c r="P863" s="6"/>
    </row>
    <row r="864" ht="12.75" customHeight="1">
      <c r="P864" s="6"/>
    </row>
    <row r="865" ht="12.75" customHeight="1">
      <c r="P865" s="6"/>
    </row>
    <row r="866" ht="12.75" customHeight="1">
      <c r="P866" s="6"/>
    </row>
    <row r="867" ht="12.75" customHeight="1">
      <c r="P867" s="6"/>
    </row>
    <row r="868" ht="12.75" customHeight="1">
      <c r="P868" s="6"/>
    </row>
    <row r="869" ht="12.75" customHeight="1">
      <c r="P869" s="6"/>
    </row>
    <row r="870" ht="12.75" customHeight="1">
      <c r="P870" s="6"/>
    </row>
    <row r="871" ht="12.75" customHeight="1">
      <c r="P871" s="6"/>
    </row>
    <row r="872" ht="12.75" customHeight="1">
      <c r="P872" s="6"/>
    </row>
    <row r="873" ht="12.75" customHeight="1">
      <c r="P873" s="6"/>
    </row>
    <row r="874" ht="12.75" customHeight="1">
      <c r="P874" s="6"/>
    </row>
    <row r="875" ht="12.75" customHeight="1">
      <c r="P875" s="6"/>
    </row>
    <row r="876" ht="12.75" customHeight="1">
      <c r="P876" s="6"/>
    </row>
    <row r="877" ht="12.75" customHeight="1">
      <c r="P877" s="6"/>
    </row>
    <row r="878" ht="12.75" customHeight="1">
      <c r="P878" s="6"/>
    </row>
    <row r="879" ht="12.75" customHeight="1">
      <c r="P879" s="6"/>
    </row>
    <row r="880" ht="12.75" customHeight="1">
      <c r="P880" s="6"/>
    </row>
    <row r="881" ht="12.75" customHeight="1">
      <c r="P881" s="6"/>
    </row>
    <row r="882" ht="12.75" customHeight="1">
      <c r="P882" s="6"/>
    </row>
    <row r="883" ht="12.75" customHeight="1">
      <c r="P883" s="6"/>
    </row>
    <row r="884" ht="12.75" customHeight="1">
      <c r="P884" s="6"/>
    </row>
    <row r="885" ht="12.75" customHeight="1">
      <c r="P885" s="6"/>
    </row>
    <row r="886" ht="12.75" customHeight="1">
      <c r="P886" s="6"/>
    </row>
    <row r="887" ht="12.75" customHeight="1">
      <c r="P887" s="6"/>
    </row>
    <row r="888" ht="12.75" customHeight="1">
      <c r="P888" s="6"/>
    </row>
    <row r="889" ht="12.75" customHeight="1">
      <c r="P889" s="6"/>
    </row>
    <row r="890" ht="12.75" customHeight="1">
      <c r="P890" s="6"/>
    </row>
    <row r="891" ht="12.75" customHeight="1">
      <c r="P891" s="6"/>
    </row>
    <row r="892" ht="12.75" customHeight="1">
      <c r="P892" s="6"/>
    </row>
    <row r="893" ht="12.75" customHeight="1">
      <c r="P893" s="6"/>
    </row>
    <row r="894" ht="12.75" customHeight="1">
      <c r="P894" s="6"/>
    </row>
    <row r="895" ht="12.75" customHeight="1">
      <c r="P895" s="6"/>
    </row>
    <row r="896" ht="12.75" customHeight="1">
      <c r="P896" s="6"/>
    </row>
    <row r="897" ht="12.75" customHeight="1">
      <c r="P897" s="6"/>
    </row>
    <row r="898" ht="12.75" customHeight="1">
      <c r="P898" s="6"/>
    </row>
    <row r="899" ht="12.75" customHeight="1">
      <c r="P899" s="6"/>
    </row>
    <row r="900" ht="12.75" customHeight="1">
      <c r="P900" s="6"/>
    </row>
    <row r="901" ht="12.75" customHeight="1">
      <c r="P901" s="6"/>
    </row>
    <row r="902" ht="12.75" customHeight="1">
      <c r="P902" s="6"/>
    </row>
    <row r="903" ht="12.75" customHeight="1">
      <c r="P903" s="6"/>
    </row>
    <row r="904" ht="12.75" customHeight="1">
      <c r="P904" s="6"/>
    </row>
    <row r="905" ht="12.75" customHeight="1">
      <c r="P905" s="6"/>
    </row>
    <row r="906" ht="12.75" customHeight="1">
      <c r="P906" s="6"/>
    </row>
    <row r="907" ht="12.75" customHeight="1">
      <c r="P907" s="6"/>
    </row>
    <row r="908" ht="12.75" customHeight="1">
      <c r="P908" s="6"/>
    </row>
    <row r="909" ht="12.75" customHeight="1">
      <c r="P909" s="6"/>
    </row>
    <row r="910" ht="12.75" customHeight="1">
      <c r="P910" s="6"/>
    </row>
    <row r="911" ht="12.75" customHeight="1">
      <c r="P911" s="6"/>
    </row>
    <row r="912" ht="12.75" customHeight="1">
      <c r="P912" s="6"/>
    </row>
    <row r="913" ht="12.75" customHeight="1">
      <c r="P913" s="6"/>
    </row>
    <row r="914" ht="12.75" customHeight="1">
      <c r="P914" s="6"/>
    </row>
    <row r="915" ht="12.75" customHeight="1">
      <c r="P915" s="6"/>
    </row>
    <row r="916" ht="12.75" customHeight="1">
      <c r="P916" s="6"/>
    </row>
    <row r="917" ht="12.75" customHeight="1">
      <c r="P917" s="6"/>
    </row>
    <row r="918" ht="12.75" customHeight="1">
      <c r="P918" s="6"/>
    </row>
    <row r="919" ht="12.75" customHeight="1">
      <c r="P919" s="6"/>
    </row>
    <row r="920" ht="12.75" customHeight="1">
      <c r="P920" s="6"/>
    </row>
    <row r="921" ht="12.75" customHeight="1">
      <c r="P921" s="6"/>
    </row>
    <row r="922" ht="12.75" customHeight="1">
      <c r="P922" s="6"/>
    </row>
    <row r="923" ht="12.75" customHeight="1">
      <c r="P923" s="6"/>
    </row>
    <row r="924" ht="12.75" customHeight="1">
      <c r="P924" s="6"/>
    </row>
    <row r="925" ht="12.75" customHeight="1">
      <c r="P925" s="6"/>
    </row>
    <row r="926" ht="12.75" customHeight="1">
      <c r="P926" s="6"/>
    </row>
    <row r="927" ht="12.75" customHeight="1">
      <c r="P927" s="6"/>
    </row>
    <row r="928" ht="12.75" customHeight="1">
      <c r="P928" s="6"/>
    </row>
    <row r="929" ht="12.75" customHeight="1">
      <c r="P929" s="6"/>
    </row>
    <row r="930" ht="12.75" customHeight="1">
      <c r="P930" s="6"/>
    </row>
    <row r="931" ht="12.75" customHeight="1">
      <c r="P931" s="6"/>
    </row>
    <row r="932" ht="12.75" customHeight="1">
      <c r="P932" s="6"/>
    </row>
    <row r="933" ht="12.75" customHeight="1">
      <c r="P933" s="6"/>
    </row>
    <row r="934" ht="12.75" customHeight="1">
      <c r="P934" s="6"/>
    </row>
    <row r="935" ht="12.75" customHeight="1">
      <c r="P935" s="6"/>
    </row>
    <row r="936" ht="12.75" customHeight="1">
      <c r="P936" s="6"/>
    </row>
    <row r="937" ht="12.75" customHeight="1">
      <c r="P937" s="6"/>
    </row>
    <row r="938" ht="12.75" customHeight="1">
      <c r="P938" s="6"/>
    </row>
    <row r="939" ht="12.75" customHeight="1">
      <c r="P939" s="6"/>
    </row>
    <row r="940" ht="12.75" customHeight="1">
      <c r="P940" s="6"/>
    </row>
    <row r="941" ht="12.75" customHeight="1">
      <c r="P941" s="6"/>
    </row>
    <row r="942" ht="12.75" customHeight="1">
      <c r="P942" s="6"/>
    </row>
    <row r="943" ht="12.75" customHeight="1">
      <c r="P943" s="6"/>
    </row>
    <row r="944" ht="12.75" customHeight="1">
      <c r="P944" s="6"/>
    </row>
    <row r="945" ht="12.75" customHeight="1">
      <c r="P945" s="6"/>
    </row>
    <row r="946" ht="12.75" customHeight="1">
      <c r="P946" s="6"/>
    </row>
    <row r="947" ht="12.75" customHeight="1">
      <c r="P947" s="6"/>
    </row>
    <row r="948" ht="12.75" customHeight="1">
      <c r="P948" s="6"/>
    </row>
    <row r="949" ht="12.75" customHeight="1">
      <c r="P949" s="6"/>
    </row>
    <row r="950" ht="12.75" customHeight="1">
      <c r="P950" s="6"/>
    </row>
    <row r="951" ht="12.75" customHeight="1">
      <c r="P951" s="6"/>
    </row>
    <row r="952" ht="12.75" customHeight="1">
      <c r="P952" s="6"/>
    </row>
    <row r="953" ht="12.75" customHeight="1">
      <c r="P953" s="6"/>
    </row>
    <row r="954" ht="12.75" customHeight="1">
      <c r="P954" s="6"/>
    </row>
    <row r="955" ht="12.75" customHeight="1">
      <c r="P955" s="6"/>
    </row>
    <row r="956" ht="12.75" customHeight="1">
      <c r="P956" s="6"/>
    </row>
    <row r="957" ht="12.75" customHeight="1">
      <c r="P957" s="6"/>
    </row>
    <row r="958" ht="12.75" customHeight="1">
      <c r="P958" s="6"/>
    </row>
    <row r="959" ht="12.75" customHeight="1">
      <c r="P959" s="6"/>
    </row>
    <row r="960" ht="12.75" customHeight="1">
      <c r="P960" s="6"/>
    </row>
    <row r="961" ht="12.75" customHeight="1">
      <c r="P961" s="6"/>
    </row>
    <row r="962" ht="12.75" customHeight="1">
      <c r="P962" s="6"/>
    </row>
    <row r="963" ht="12.75" customHeight="1">
      <c r="P963" s="6"/>
    </row>
    <row r="964" ht="12.75" customHeight="1">
      <c r="P964" s="6"/>
    </row>
    <row r="965" ht="12.75" customHeight="1">
      <c r="P965" s="6"/>
    </row>
    <row r="966" ht="12.75" customHeight="1">
      <c r="P966" s="6"/>
    </row>
    <row r="967" ht="12.75" customHeight="1">
      <c r="P967" s="6"/>
    </row>
    <row r="968" ht="12.75" customHeight="1">
      <c r="P968" s="6"/>
    </row>
    <row r="969" ht="12.75" customHeight="1">
      <c r="P969" s="6"/>
    </row>
    <row r="970" ht="12.75" customHeight="1">
      <c r="P970" s="6"/>
    </row>
    <row r="971" ht="12.75" customHeight="1">
      <c r="P971" s="6"/>
    </row>
    <row r="972" ht="12.75" customHeight="1">
      <c r="P972" s="6"/>
    </row>
    <row r="973" ht="12.75" customHeight="1">
      <c r="P973" s="6"/>
    </row>
    <row r="974" ht="12.75" customHeight="1">
      <c r="P974" s="6"/>
    </row>
    <row r="975" ht="12.75" customHeight="1">
      <c r="P975" s="6"/>
    </row>
    <row r="976" ht="12.75" customHeight="1">
      <c r="P976" s="6"/>
    </row>
    <row r="977" ht="12.75" customHeight="1">
      <c r="P977" s="6"/>
    </row>
    <row r="978" ht="12.75" customHeight="1">
      <c r="P978" s="6"/>
    </row>
    <row r="979" ht="12.75" customHeight="1">
      <c r="P979" s="6"/>
    </row>
    <row r="980" ht="12.75" customHeight="1">
      <c r="P980" s="6"/>
    </row>
    <row r="981" ht="12.75" customHeight="1">
      <c r="P981" s="6"/>
    </row>
    <row r="982" ht="12.75" customHeight="1">
      <c r="P982" s="6"/>
    </row>
    <row r="983" ht="12.75" customHeight="1">
      <c r="P983" s="6"/>
    </row>
    <row r="984" ht="12.75" customHeight="1">
      <c r="P984" s="6"/>
    </row>
    <row r="985" ht="12.75" customHeight="1">
      <c r="P985" s="6"/>
    </row>
    <row r="986" ht="12.75" customHeight="1">
      <c r="P986" s="6"/>
    </row>
    <row r="987" ht="12.75" customHeight="1">
      <c r="P987" s="6"/>
    </row>
    <row r="988" ht="12.75" customHeight="1">
      <c r="P988" s="6"/>
    </row>
    <row r="989" ht="12.75" customHeight="1">
      <c r="P989" s="6"/>
    </row>
    <row r="990" ht="12.75" customHeight="1">
      <c r="P990" s="6"/>
    </row>
    <row r="991" ht="12.75" customHeight="1">
      <c r="P991" s="6"/>
    </row>
    <row r="992" ht="12.75" customHeight="1">
      <c r="P992" s="6"/>
    </row>
    <row r="993" ht="12.75" customHeight="1">
      <c r="P993" s="6"/>
    </row>
    <row r="994" ht="12.75" customHeight="1">
      <c r="P994" s="6"/>
    </row>
    <row r="995" ht="12.75" customHeight="1">
      <c r="P995" s="6"/>
    </row>
    <row r="996" ht="12.75" customHeight="1">
      <c r="P996" s="6"/>
    </row>
    <row r="997" ht="12.75" customHeight="1">
      <c r="P997" s="6"/>
    </row>
    <row r="998" ht="12.75" customHeight="1">
      <c r="P998" s="6"/>
    </row>
    <row r="999" ht="12.75" customHeight="1">
      <c r="P999" s="6"/>
    </row>
    <row r="1000" ht="12.75" customHeight="1">
      <c r="P1000" s="6"/>
    </row>
  </sheetData>
  <mergeCells count="7">
    <mergeCell ref="F5:H5"/>
    <mergeCell ref="I5:K5"/>
    <mergeCell ref="L5:N5"/>
    <mergeCell ref="O5:P5"/>
    <mergeCell ref="F99:G99"/>
    <mergeCell ref="I99:J99"/>
    <mergeCell ref="L99:M9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2021-01-17T08:06:41Z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str>1033-11.2.0.9937</vt:lpstr>
  </property>
</Properties>
</file>