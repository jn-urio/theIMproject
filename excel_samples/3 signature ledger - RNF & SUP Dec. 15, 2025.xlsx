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 " sheetId="1" r:id="rId4"/>
    <sheet state="visible" name="RNF" sheetId="2" r:id="rId5"/>
    <sheet state="visible" name="GM" sheetId="3" r:id="rId6"/>
  </sheets>
  <definedNames/>
  <calcPr/>
  <extLst>
    <ext uri="GoogleSheetsCustomDataVersion2">
      <go:sheetsCustomData xmlns:go="http://customooxmlschemas.google.com/" r:id="rId7" roundtripDataChecksum="b6avYgQg6lnN1bmw+vKdESxXBwwt9p6qEsEd0RqsBZc="/>
    </ext>
  </extLst>
</workbook>
</file>

<file path=xl/sharedStrings.xml><?xml version="1.0" encoding="utf-8"?>
<sst xmlns="http://schemas.openxmlformats.org/spreadsheetml/2006/main" count="170" uniqueCount="93">
  <si>
    <t>SIGNATURE LEDGER</t>
  </si>
  <si>
    <t>SUPERVISOR</t>
  </si>
  <si>
    <t>Payroll Period:  Nov. 24 to Dec. 08, 2025</t>
  </si>
  <si>
    <t>CLUB HOUSE</t>
  </si>
  <si>
    <t>GROSS</t>
  </si>
  <si>
    <t>TOTAL</t>
  </si>
  <si>
    <t>NET</t>
  </si>
  <si>
    <t>PAY</t>
  </si>
  <si>
    <t>DEDUCTIONS</t>
  </si>
  <si>
    <t>FINANCE DEPARTMENT</t>
  </si>
  <si>
    <t>.</t>
  </si>
  <si>
    <t>Employee A [012406-0058]</t>
  </si>
  <si>
    <t>Employee B [010600-0006]</t>
  </si>
  <si>
    <t>DEPARTMENT TOTAL &gt;&gt;</t>
  </si>
  <si>
    <t>GENERAL AND ADMINISTRATION</t>
  </si>
  <si>
    <t>Employee C</t>
  </si>
  <si>
    <t>[080109-0087]</t>
  </si>
  <si>
    <t>GOLF MAINTENANCE</t>
  </si>
  <si>
    <t>Employee D [120199-0004]</t>
  </si>
  <si>
    <t>Employee E [082902-0039]</t>
  </si>
  <si>
    <t>GOLF OPERATION</t>
  </si>
  <si>
    <t>Employee F [032411-0108]</t>
  </si>
  <si>
    <t>HUMAN RESOURCE &amp; DEVELOPMENT</t>
  </si>
  <si>
    <t>Employee G  [022718-1802]</t>
  </si>
  <si>
    <t>INTERNAL AUDIT  DEPT.</t>
  </si>
  <si>
    <t>Employee H[092406-0064]</t>
  </si>
  <si>
    <t>MEMBERSHIP</t>
  </si>
  <si>
    <t>Employee I  [102301-0013]</t>
  </si>
  <si>
    <t>DIVISION TOTAL &gt;&gt;</t>
  </si>
  <si>
    <t>RNF</t>
  </si>
  <si>
    <t>Rank and File</t>
  </si>
  <si>
    <t>Employee A</t>
  </si>
  <si>
    <t>[110707-0014]</t>
  </si>
  <si>
    <t>Employee B</t>
  </si>
  <si>
    <t>[082407-0074]</t>
  </si>
  <si>
    <t>[080508-0077]</t>
  </si>
  <si>
    <t>Employee D</t>
  </si>
  <si>
    <t>[091218-1806]</t>
  </si>
  <si>
    <t>Employee E</t>
  </si>
  <si>
    <t>[011709-0078]</t>
  </si>
  <si>
    <t>Employee F</t>
  </si>
  <si>
    <t>Employee G</t>
  </si>
  <si>
    <t>[090615-0197]</t>
  </si>
  <si>
    <t>Employee H</t>
  </si>
  <si>
    <t>[042406-0061]</t>
  </si>
  <si>
    <t>Employee I</t>
  </si>
  <si>
    <t>[101504-0044]</t>
  </si>
  <si>
    <t>Employee J</t>
  </si>
  <si>
    <t>[080617-1703]</t>
  </si>
  <si>
    <t>Employee K</t>
  </si>
  <si>
    <t>[091605-0050]</t>
  </si>
  <si>
    <t>Employee L</t>
  </si>
  <si>
    <t>[042407-0072]</t>
  </si>
  <si>
    <t>Employee M</t>
  </si>
  <si>
    <t>[110509-0088]</t>
  </si>
  <si>
    <t>Employee N</t>
  </si>
  <si>
    <t>[032409-0082]</t>
  </si>
  <si>
    <t>Employee O</t>
  </si>
  <si>
    <t>[030905-0048]</t>
  </si>
  <si>
    <t>Employee P</t>
  </si>
  <si>
    <t>[090917-1706]</t>
  </si>
  <si>
    <t>HOUSEKEEPING</t>
  </si>
  <si>
    <t>Employee Q</t>
  </si>
  <si>
    <t>[110617-1707</t>
  </si>
  <si>
    <t>Employee R</t>
  </si>
  <si>
    <t>[071604-0042]</t>
  </si>
  <si>
    <t>Employee S</t>
  </si>
  <si>
    <t>[021706-0060]</t>
  </si>
  <si>
    <t>Employee T</t>
  </si>
  <si>
    <t>[060109-0085]</t>
  </si>
  <si>
    <t>Employee U</t>
  </si>
  <si>
    <t>[022107-0067]</t>
  </si>
  <si>
    <t xml:space="preserve">             </t>
  </si>
  <si>
    <t>FOOD AND BEVERAGES</t>
  </si>
  <si>
    <t>Employee V</t>
  </si>
  <si>
    <t>[052416-0201]</t>
  </si>
  <si>
    <t>Employee W</t>
  </si>
  <si>
    <t>[032819-1901]</t>
  </si>
  <si>
    <t>Employee X</t>
  </si>
  <si>
    <t>[112323-45]</t>
  </si>
  <si>
    <t>Employee Y</t>
  </si>
  <si>
    <t>[112323-507]</t>
  </si>
  <si>
    <t>Employee Z</t>
  </si>
  <si>
    <t>[011606-0053]</t>
  </si>
  <si>
    <t>Employee AA</t>
  </si>
  <si>
    <t>[112323-48]</t>
  </si>
  <si>
    <t>Employee AB</t>
  </si>
  <si>
    <t>Employee AC</t>
  </si>
  <si>
    <t xml:space="preserve"> [082617-1704]</t>
  </si>
  <si>
    <t>Employee AD</t>
  </si>
  <si>
    <t>[082617-1704]</t>
  </si>
  <si>
    <t xml:space="preserve"> </t>
  </si>
  <si>
    <t>GM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</si>
</sst>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_);\-#,##0.00"/>
    <numFmt numFmtId="165" formatCode="_(* #,##0.00_);_(* \(#,##0.00\);_(* &quot;-&quot;??_);_(@_)"/>
    <numFmt numFmtId="166" formatCode="#,##0.00000000000"/>
  </numFmts>
  <fonts count="31">
    <font>
      <sz val="10.0"/>
      <color rgb="FF000000"/>
      <name val="Open Sans"/>
      <scheme val="minor"/>
    </font>
    <font>
      <sz val="11.0"/>
      <color rgb="FF000000"/>
      <name val="Cambria"/>
    </font>
    <font>
      <b/>
      <sz val="11.0"/>
      <color rgb="FF000000"/>
      <name val="Cambria"/>
    </font>
    <font>
      <b/>
      <sz val="11.0"/>
      <color rgb="FFFF0000"/>
      <name val="Cambria"/>
    </font>
    <font>
      <sz val="8.0"/>
      <color rgb="FF000000"/>
      <name val="Tahoma"/>
    </font>
    <font>
      <sz val="10.0"/>
      <color rgb="FF000000"/>
      <name val="Open Sans"/>
    </font>
    <font>
      <sz val="11.0"/>
      <color rgb="FFFF0000"/>
      <name val="Cambria"/>
    </font>
    <font>
      <b/>
      <sz val="11.0"/>
      <color theme="1"/>
      <name val="Cambria"/>
    </font>
    <font>
      <sz val="9.0"/>
      <color rgb="FF000000"/>
      <name val="Arial"/>
    </font>
    <font>
      <sz val="10.0"/>
      <color rgb="FF000000"/>
      <name val="Arial"/>
    </font>
    <font>
      <b/>
      <sz val="10.0"/>
      <color rgb="FF000000"/>
      <name val="Tahoma"/>
    </font>
    <font>
      <b/>
      <sz val="10.0"/>
      <color rgb="FF000000"/>
      <name val="Arial"/>
    </font>
    <font>
      <sz val="10.0"/>
      <color rgb="FF000000"/>
      <name val="Tahoma"/>
    </font>
    <font>
      <b/>
      <sz val="8.0"/>
      <color rgb="FF000000"/>
      <name val="Tahoma"/>
    </font>
    <font>
      <b/>
      <sz val="9.0"/>
      <color rgb="FF000000"/>
      <name val="Arial"/>
    </font>
    <font>
      <sz val="5.0"/>
      <color rgb="FF000000"/>
      <name val="Times New Roman"/>
    </font>
    <font>
      <sz val="12.0"/>
      <color rgb="FF000000"/>
      <name val="Open Sans"/>
    </font>
    <font>
      <b/>
      <sz val="12.0"/>
      <color rgb="FF000000"/>
      <name val="Tahoma"/>
    </font>
    <font>
      <sz val="12.0"/>
      <color rgb="FF000000"/>
      <name val="Arial"/>
    </font>
    <font>
      <sz val="12.0"/>
      <color rgb="FF000000"/>
      <name val="Tahoma"/>
    </font>
    <font>
      <b/>
      <sz val="12.0"/>
      <color rgb="FF000000"/>
      <name val="Arial"/>
    </font>
    <font>
      <sz val="12.0"/>
      <color rgb="FFFF0000"/>
      <name val="Open Sans"/>
    </font>
    <font>
      <b/>
      <sz val="12.0"/>
      <color rgb="FFFF0000"/>
      <name val="Arial"/>
    </font>
    <font>
      <sz val="12.0"/>
      <color rgb="FFFF0000"/>
      <name val="Arial"/>
    </font>
    <font>
      <b/>
      <sz val="12.0"/>
      <color theme="1"/>
      <name val="Arial"/>
    </font>
    <font>
      <b/>
      <sz val="12.0"/>
      <color rgb="FFFF0000"/>
      <name val="Tahoma"/>
    </font>
    <font>
      <color theme="1"/>
      <name val="Open Sans"/>
      <scheme val="minor"/>
    </font>
    <font>
      <b/>
      <sz val="12.0"/>
      <color rgb="FF000000"/>
      <name val="Cambria"/>
    </font>
    <font>
      <b/>
      <sz val="12.0"/>
      <color theme="1"/>
      <name val="Cambria"/>
    </font>
    <font>
      <sz val="12.0"/>
      <color theme="1"/>
      <name val="Cambria"/>
    </font>
    <font>
      <sz val="12.0"/>
      <color theme="1"/>
      <name val="Open Sans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8000"/>
        <bgColor rgb="FF008000"/>
      </patternFill>
    </fill>
    <fill>
      <patternFill patternType="solid">
        <fgColor theme="0"/>
        <bgColor theme="0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/>
      <bottom style="medium">
        <color rgb="FF000000"/>
      </bottom>
    </border>
    <border>
      <left style="hair">
        <color rgb="FF000000"/>
      </left>
      <right style="hair">
        <color rgb="FF000000"/>
      </right>
      <top/>
      <bottom style="medium">
        <color rgb="FF000000"/>
      </bottom>
    </border>
    <border>
      <left style="hair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 style="hair">
        <color rgb="FF000000"/>
      </right>
      <top/>
      <bottom/>
    </border>
    <border>
      <left style="hair">
        <color rgb="FF000000"/>
      </left>
      <right style="hair">
        <color rgb="FF000000"/>
      </right>
      <top/>
      <bottom/>
    </border>
  </borders>
  <cellStyleXfs count="1">
    <xf borderId="0" fillId="0" fontId="0" numFmtId="0" applyAlignment="1" applyFont="1"/>
  </cellStyleXfs>
  <cellXfs count="2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horizontal="center"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bottom" wrapText="0"/>
    </xf>
    <xf borderId="4" fillId="0" fontId="1" numFmtId="3" xfId="0" applyAlignment="1" applyBorder="1" applyFont="1" applyNumberFormat="1">
      <alignment horizontal="right" shrinkToFit="0" vertical="center" wrapText="0"/>
    </xf>
    <xf borderId="0" fillId="0" fontId="1" numFmtId="0" xfId="0" applyAlignment="1" applyFont="1">
      <alignment horizontal="left" shrinkToFit="0" vertical="center" wrapText="0"/>
    </xf>
    <xf borderId="5" fillId="0" fontId="1" numFmtId="164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0"/>
    </xf>
    <xf borderId="9" fillId="0" fontId="1" numFmtId="3" xfId="0" applyAlignment="1" applyBorder="1" applyFont="1" applyNumberFormat="1">
      <alignment horizontal="right" shrinkToFit="0" vertical="center" wrapText="0"/>
    </xf>
    <xf borderId="10" fillId="0" fontId="1" numFmtId="0" xfId="0" applyAlignment="1" applyBorder="1" applyFont="1">
      <alignment horizontal="left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shrinkToFit="0" vertical="bottom" wrapText="0"/>
    </xf>
    <xf borderId="10" fillId="0" fontId="2" numFmtId="165" xfId="0" applyAlignment="1" applyBorder="1" applyFont="1" applyNumberFormat="1">
      <alignment shrinkToFit="0" vertical="bottom" wrapText="0"/>
    </xf>
    <xf borderId="11" fillId="0" fontId="2" numFmtId="164" xfId="0" applyAlignment="1" applyBorder="1" applyFont="1" applyNumberFormat="1">
      <alignment horizontal="right" shrinkToFit="0" vertical="center" wrapText="0"/>
    </xf>
    <xf borderId="0" fillId="0" fontId="5" numFmtId="165" xfId="0" applyAlignment="1" applyFont="1" applyNumberFormat="1">
      <alignment shrinkToFit="0" vertical="bottom" wrapText="0"/>
    </xf>
    <xf borderId="12" fillId="0" fontId="1" numFmtId="3" xfId="0" applyAlignment="1" applyBorder="1" applyFont="1" applyNumberFormat="1">
      <alignment horizontal="right" shrinkToFit="0" vertical="center" wrapText="0"/>
    </xf>
    <xf borderId="13" fillId="0" fontId="1" numFmtId="0" xfId="0" applyAlignment="1" applyBorder="1" applyFont="1">
      <alignment horizontal="left" shrinkToFit="0" vertical="center" wrapText="0"/>
    </xf>
    <xf borderId="13" fillId="0" fontId="1" numFmtId="0" xfId="0" applyAlignment="1" applyBorder="1" applyFont="1">
      <alignment shrinkToFit="0" vertical="bottom" wrapText="0"/>
    </xf>
    <xf borderId="13" fillId="0" fontId="2" numFmtId="165" xfId="0" applyAlignment="1" applyBorder="1" applyFont="1" applyNumberFormat="1">
      <alignment shrinkToFit="0" vertical="bottom" wrapText="0"/>
    </xf>
    <xf borderId="11" fillId="0" fontId="2" numFmtId="165" xfId="0" applyAlignment="1" applyBorder="1" applyFont="1" applyNumberFormat="1">
      <alignment horizontal="right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3" fillId="0" fontId="1" numFmtId="165" xfId="0" applyAlignment="1" applyBorder="1" applyFont="1" applyNumberFormat="1">
      <alignment shrinkToFit="0" vertical="bottom" wrapText="0"/>
    </xf>
    <xf borderId="14" fillId="0" fontId="1" numFmtId="164" xfId="0" applyAlignment="1" applyBorder="1" applyFont="1" applyNumberFormat="1">
      <alignment horizontal="right" shrinkToFit="0" vertical="center" wrapText="0"/>
    </xf>
    <xf borderId="12" fillId="2" fontId="1" numFmtId="3" xfId="0" applyAlignment="1" applyBorder="1" applyFill="1" applyFont="1" applyNumberFormat="1">
      <alignment horizontal="right" shrinkToFit="0" vertical="center" wrapText="0"/>
    </xf>
    <xf borderId="13" fillId="2" fontId="1" numFmtId="0" xfId="0" applyAlignment="1" applyBorder="1" applyFont="1">
      <alignment horizontal="left" shrinkToFit="0" vertical="center" wrapText="0"/>
    </xf>
    <xf borderId="13" fillId="2" fontId="1" numFmtId="0" xfId="0" applyAlignment="1" applyBorder="1" applyFont="1">
      <alignment shrinkToFit="0" vertical="bottom" wrapText="0"/>
    </xf>
    <xf borderId="13" fillId="2" fontId="3" numFmtId="0" xfId="0" applyAlignment="1" applyBorder="1" applyFont="1">
      <alignment horizontal="left" shrinkToFit="0" vertical="center" wrapText="0"/>
    </xf>
    <xf borderId="13" fillId="2" fontId="6" numFmtId="0" xfId="0" applyAlignment="1" applyBorder="1" applyFont="1">
      <alignment shrinkToFit="0" vertical="bottom" wrapText="0"/>
    </xf>
    <xf borderId="13" fillId="2" fontId="3" numFmtId="165" xfId="0" applyAlignment="1" applyBorder="1" applyFont="1" applyNumberFormat="1">
      <alignment shrinkToFit="0" vertical="bottom" wrapText="0"/>
    </xf>
    <xf borderId="10" fillId="0" fontId="2" numFmtId="0" xfId="0" applyAlignment="1" applyBorder="1" applyFont="1">
      <alignment horizontal="left" shrinkToFit="0" vertical="center" wrapText="0"/>
    </xf>
    <xf borderId="10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shrinkToFit="0" vertical="bottom" wrapText="0"/>
    </xf>
    <xf borderId="14" fillId="0" fontId="2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shrinkToFit="0" vertical="center" wrapText="0"/>
    </xf>
    <xf borderId="14" fillId="0" fontId="2" numFmtId="164" xfId="0" applyAlignment="1" applyBorder="1" applyFont="1" applyNumberFormat="1">
      <alignment horizontal="right" shrinkToFit="0" vertical="center" wrapText="0"/>
    </xf>
    <xf borderId="13" fillId="0" fontId="7" numFmtId="165" xfId="0" applyAlignment="1" applyBorder="1" applyFont="1" applyNumberFormat="1">
      <alignment shrinkToFit="0" vertical="bottom" wrapText="0"/>
    </xf>
    <xf borderId="15" fillId="2" fontId="1" numFmtId="3" xfId="0" applyAlignment="1" applyBorder="1" applyFont="1" applyNumberFormat="1">
      <alignment horizontal="right" shrinkToFit="0" vertical="center" wrapText="0"/>
    </xf>
    <xf borderId="16" fillId="2" fontId="1" numFmtId="0" xfId="0" applyAlignment="1" applyBorder="1" applyFont="1">
      <alignment horizontal="left" shrinkToFit="0" vertical="center" wrapText="0"/>
    </xf>
    <xf borderId="16" fillId="2" fontId="1" numFmtId="0" xfId="0" applyAlignment="1" applyBorder="1" applyFont="1">
      <alignment shrinkToFit="0" vertical="bottom" wrapText="0"/>
    </xf>
    <xf borderId="16" fillId="2" fontId="3" numFmtId="0" xfId="0" applyAlignment="1" applyBorder="1" applyFont="1">
      <alignment horizontal="left" shrinkToFit="0" vertical="center" wrapText="0"/>
    </xf>
    <xf borderId="16" fillId="2" fontId="6" numFmtId="0" xfId="0" applyAlignment="1" applyBorder="1" applyFont="1">
      <alignment shrinkToFit="0" vertical="bottom" wrapText="0"/>
    </xf>
    <xf borderId="16" fillId="2" fontId="3" numFmtId="165" xfId="0" applyAlignment="1" applyBorder="1" applyFont="1" applyNumberFormat="1">
      <alignment shrinkToFit="0" vertical="bottom" wrapText="0"/>
    </xf>
    <xf borderId="12" fillId="0" fontId="2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4" fillId="0" fontId="2" numFmtId="165" xfId="0" applyAlignment="1" applyBorder="1" applyFont="1" applyNumberFormat="1">
      <alignment horizontal="right" shrinkToFit="0" vertical="center" wrapText="0"/>
    </xf>
    <xf borderId="17" fillId="0" fontId="2" numFmtId="165" xfId="0" applyAlignment="1" applyBorder="1" applyFont="1" applyNumberFormat="1">
      <alignment shrinkToFit="0" vertical="bottom" wrapText="0"/>
    </xf>
    <xf borderId="18" fillId="0" fontId="1" numFmtId="3" xfId="0" applyAlignment="1" applyBorder="1" applyFont="1" applyNumberFormat="1">
      <alignment horizontal="right" shrinkToFit="0" vertical="center" wrapText="0"/>
    </xf>
    <xf borderId="17" fillId="0" fontId="1" numFmtId="0" xfId="0" applyAlignment="1" applyBorder="1" applyFont="1">
      <alignment horizontal="left" shrinkToFit="0" vertical="center" wrapText="0"/>
    </xf>
    <xf borderId="17" fillId="0" fontId="1" numFmtId="0" xfId="0" applyAlignment="1" applyBorder="1" applyFont="1">
      <alignment shrinkToFit="0" vertical="bottom" wrapText="0"/>
    </xf>
    <xf borderId="17" fillId="0" fontId="2" numFmtId="0" xfId="0" applyAlignment="1" applyBorder="1" applyFont="1">
      <alignment horizontal="left" shrinkToFit="0" vertical="center" wrapText="0"/>
    </xf>
    <xf borderId="17" fillId="0" fontId="2" numFmtId="0" xfId="0" applyAlignment="1" applyBorder="1" applyFont="1">
      <alignment shrinkToFit="0" vertical="bottom" wrapText="0"/>
    </xf>
    <xf borderId="19" fillId="0" fontId="2" numFmtId="164" xfId="0" applyAlignment="1" applyBorder="1" applyFont="1" applyNumberFormat="1">
      <alignment horizontal="right" shrinkToFit="0" vertical="center" wrapText="0"/>
    </xf>
    <xf borderId="15" fillId="2" fontId="1" numFmtId="0" xfId="0" applyAlignment="1" applyBorder="1" applyFont="1">
      <alignment shrinkToFit="0" vertical="bottom" wrapText="0"/>
    </xf>
    <xf borderId="20" fillId="2" fontId="3" numFmtId="165" xfId="0" applyAlignment="1" applyBorder="1" applyFont="1" applyNumberForma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19" fillId="0" fontId="2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horizontal="left" shrinkToFit="0" vertical="center" wrapText="0"/>
    </xf>
    <xf borderId="18" fillId="0" fontId="1" numFmtId="0" xfId="0" applyAlignment="1" applyBorder="1" applyFont="1">
      <alignment shrinkToFit="0" vertical="bottom" wrapText="0"/>
    </xf>
    <xf borderId="19" fillId="0" fontId="2" numFmtId="165" xfId="0" applyAlignment="1" applyBorder="1" applyFont="1" applyNumberFormat="1">
      <alignment horizontal="right" shrinkToFit="0" vertical="center" wrapText="0"/>
    </xf>
    <xf borderId="11" fillId="0" fontId="1" numFmtId="0" xfId="0" applyAlignment="1" applyBorder="1" applyFont="1">
      <alignment shrinkToFit="0" vertical="bottom" wrapText="0"/>
    </xf>
    <xf borderId="21" fillId="3" fontId="1" numFmtId="3" xfId="0" applyAlignment="1" applyBorder="1" applyFill="1" applyFont="1" applyNumberFormat="1">
      <alignment horizontal="right" shrinkToFit="0" vertical="center" wrapText="0"/>
    </xf>
    <xf borderId="22" fillId="3" fontId="1" numFmtId="0" xfId="0" applyAlignment="1" applyBorder="1" applyFont="1">
      <alignment horizontal="left" shrinkToFit="0" vertical="center" wrapText="0"/>
    </xf>
    <xf borderId="22" fillId="3" fontId="1" numFmtId="0" xfId="0" applyAlignment="1" applyBorder="1" applyFont="1">
      <alignment shrinkToFit="0" vertical="bottom" wrapText="0"/>
    </xf>
    <xf borderId="22" fillId="3" fontId="2" numFmtId="0" xfId="0" applyAlignment="1" applyBorder="1" applyFont="1">
      <alignment shrinkToFit="0" vertical="bottom" wrapText="0"/>
    </xf>
    <xf borderId="22" fillId="3" fontId="2" numFmtId="0" xfId="0" applyAlignment="1" applyBorder="1" applyFont="1">
      <alignment horizontal="left" shrinkToFit="0" vertical="center" wrapText="0"/>
    </xf>
    <xf borderId="22" fillId="3" fontId="2" numFmtId="165" xfId="0" applyAlignment="1" applyBorder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8" numFmtId="3" xfId="0" applyAlignment="1" applyFont="1" applyNumberFormat="1">
      <alignment horizontal="right"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0" fontId="4" numFmtId="164" xfId="0" applyAlignment="1" applyFont="1" applyNumberFormat="1">
      <alignment horizontal="right" shrinkToFit="0" vertical="center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8" numFmtId="0" xfId="0" applyAlignment="1" applyFont="1">
      <alignment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5" numFmtId="0" xfId="0" applyAlignment="1" applyFont="1">
      <alignment shrinkToFit="0" vertical="bottom" wrapText="0"/>
    </xf>
    <xf borderId="0" fillId="0" fontId="10" numFmtId="164" xfId="0" applyAlignment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center" wrapText="0"/>
    </xf>
    <xf borderId="0" fillId="0" fontId="4" numFmtId="3" xfId="0" applyAlignment="1" applyFont="1" applyNumberFormat="1">
      <alignment horizontal="right" shrinkToFit="0" vertical="center" wrapText="0"/>
    </xf>
    <xf borderId="0" fillId="0" fontId="12" numFmtId="0" xfId="0" applyAlignment="1" applyFont="1">
      <alignment shrinkToFit="0" vertical="bottom" wrapText="0"/>
    </xf>
    <xf borderId="0" fillId="0" fontId="13" numFmtId="164" xfId="0" applyAlignment="1" applyFont="1" applyNumberFormat="1">
      <alignment horizontal="right" shrinkToFit="0" vertical="center" wrapText="0"/>
    </xf>
    <xf borderId="0" fillId="0" fontId="14" numFmtId="0" xfId="0" applyAlignment="1" applyFont="1">
      <alignment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16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7" numFmtId="0" xfId="0" applyAlignment="1" applyFont="1">
      <alignment shrinkToFit="0" vertical="center" wrapText="0"/>
    </xf>
    <xf borderId="1" fillId="0" fontId="17" numFmtId="0" xfId="0" applyAlignment="1" applyBorder="1" applyFont="1">
      <alignment shrinkToFit="0" vertical="center" wrapText="0"/>
    </xf>
    <xf borderId="2" fillId="0" fontId="16" numFmtId="0" xfId="0" applyAlignment="1" applyBorder="1" applyFont="1">
      <alignment shrinkToFit="0" vertical="bottom" wrapText="0"/>
    </xf>
    <xf borderId="2" fillId="0" fontId="18" numFmtId="0" xfId="0" applyAlignment="1" applyBorder="1" applyFont="1">
      <alignment shrinkToFit="0" vertical="bottom" wrapText="0"/>
    </xf>
    <xf borderId="3" fillId="0" fontId="18" numFmtId="0" xfId="0" applyAlignment="1" applyBorder="1" applyFont="1">
      <alignment shrinkToFit="0" vertical="bottom" wrapText="0"/>
    </xf>
    <xf borderId="9" fillId="0" fontId="16" numFmtId="0" xfId="0" applyAlignment="1" applyBorder="1" applyFont="1">
      <alignment shrinkToFit="0" vertical="bottom" wrapText="0"/>
    </xf>
    <xf borderId="10" fillId="0" fontId="16" numFmtId="0" xfId="0" applyAlignment="1" applyBorder="1" applyFont="1">
      <alignment shrinkToFit="0" vertical="bottom" wrapText="0"/>
    </xf>
    <xf borderId="11" fillId="0" fontId="16" numFmtId="0" xfId="0" applyAlignment="1" applyBorder="1" applyFont="1">
      <alignment shrinkToFit="0" vertical="bottom" wrapText="0"/>
    </xf>
    <xf borderId="12" fillId="0" fontId="19" numFmtId="3" xfId="0" applyAlignment="1" applyBorder="1" applyFont="1" applyNumberFormat="1">
      <alignment horizontal="right" shrinkToFit="0" vertical="center" wrapText="0"/>
    </xf>
    <xf borderId="13" fillId="0" fontId="19" numFmtId="0" xfId="0" applyAlignment="1" applyBorder="1" applyFont="1">
      <alignment horizontal="left" shrinkToFit="0" vertical="center" wrapText="0"/>
    </xf>
    <xf borderId="13" fillId="0" fontId="18" numFmtId="0" xfId="0" applyAlignment="1" applyBorder="1" applyFont="1">
      <alignment readingOrder="0" shrinkToFit="0" vertical="center" wrapText="0"/>
    </xf>
    <xf borderId="13" fillId="0" fontId="18" numFmtId="0" xfId="0" applyAlignment="1" applyBorder="1" applyFont="1">
      <alignment shrinkToFit="0" vertical="bottom" wrapText="0"/>
    </xf>
    <xf borderId="13" fillId="0" fontId="16" numFmtId="0" xfId="0" applyAlignment="1" applyBorder="1" applyFont="1">
      <alignment shrinkToFit="0" vertical="bottom" wrapText="0"/>
    </xf>
    <xf borderId="13" fillId="0" fontId="20" numFmtId="165" xfId="0" applyAlignment="1" applyBorder="1" applyFont="1" applyNumberFormat="1">
      <alignment horizontal="right" shrinkToFit="0" vertical="center" wrapText="0"/>
    </xf>
    <xf borderId="14" fillId="0" fontId="20" numFmtId="165" xfId="0" applyAlignment="1" applyBorder="1" applyFont="1" applyNumberFormat="1">
      <alignment shrinkToFit="0" vertical="bottom" wrapText="0"/>
    </xf>
    <xf borderId="0" fillId="0" fontId="4" numFmtId="165" xfId="0" applyAlignment="1" applyFont="1" applyNumberFormat="1">
      <alignment horizontal="left" shrinkToFit="0" vertical="center" wrapText="0"/>
    </xf>
    <xf borderId="13" fillId="0" fontId="18" numFmtId="0" xfId="0" applyAlignment="1" applyBorder="1" applyFont="1">
      <alignment shrinkToFit="0" vertical="center" wrapText="0"/>
    </xf>
    <xf borderId="13" fillId="0" fontId="20" numFmtId="165" xfId="0" applyAlignment="1" applyBorder="1" applyFont="1" applyNumberFormat="1">
      <alignment shrinkToFit="0" vertical="bottom" wrapText="0"/>
    </xf>
    <xf borderId="12" fillId="0" fontId="16" numFmtId="0" xfId="0" applyAlignment="1" applyBorder="1" applyFont="1">
      <alignment shrinkToFit="0" vertical="bottom" wrapText="0"/>
    </xf>
    <xf borderId="17" fillId="0" fontId="19" numFmtId="0" xfId="0" applyAlignment="1" applyBorder="1" applyFont="1">
      <alignment horizontal="left" shrinkToFit="0" vertical="center" wrapText="0"/>
    </xf>
    <xf borderId="17" fillId="0" fontId="18" numFmtId="0" xfId="0" applyAlignment="1" applyBorder="1" applyFont="1">
      <alignment shrinkToFit="0" vertical="center" wrapText="0"/>
    </xf>
    <xf borderId="17" fillId="0" fontId="18" numFmtId="0" xfId="0" applyAlignment="1" applyBorder="1" applyFont="1">
      <alignment shrinkToFit="0" vertical="bottom" wrapText="0"/>
    </xf>
    <xf borderId="17" fillId="0" fontId="16" numFmtId="0" xfId="0" applyAlignment="1" applyBorder="1" applyFont="1">
      <alignment shrinkToFit="0" vertical="bottom" wrapText="0"/>
    </xf>
    <xf borderId="17" fillId="0" fontId="19" numFmtId="164" xfId="0" applyAlignment="1" applyBorder="1" applyFont="1" applyNumberFormat="1">
      <alignment horizontal="right" shrinkToFit="0" vertical="center" wrapText="0"/>
    </xf>
    <xf borderId="19" fillId="0" fontId="18" numFmtId="164" xfId="0" applyAlignment="1" applyBorder="1" applyFont="1" applyNumberFormat="1">
      <alignment horizontal="right" shrinkToFit="0" vertical="center" wrapText="0"/>
    </xf>
    <xf borderId="18" fillId="0" fontId="19" numFmtId="3" xfId="0" applyAlignment="1" applyBorder="1" applyFont="1" applyNumberFormat="1">
      <alignment horizontal="right" shrinkToFit="0" vertical="center" wrapText="0"/>
    </xf>
    <xf borderId="15" fillId="2" fontId="19" numFmtId="3" xfId="0" applyAlignment="1" applyBorder="1" applyFont="1" applyNumberFormat="1">
      <alignment horizontal="right" shrinkToFit="0" vertical="center" wrapText="0"/>
    </xf>
    <xf borderId="16" fillId="2" fontId="19" numFmtId="0" xfId="0" applyAlignment="1" applyBorder="1" applyFont="1">
      <alignment horizontal="left" shrinkToFit="0" vertical="center" wrapText="0"/>
    </xf>
    <xf borderId="16" fillId="2" fontId="21" numFmtId="0" xfId="0" applyAlignment="1" applyBorder="1" applyFont="1">
      <alignment shrinkToFit="0" vertical="bottom" wrapText="0"/>
    </xf>
    <xf borderId="16" fillId="2" fontId="22" numFmtId="165" xfId="0" applyAlignment="1" applyBorder="1" applyFont="1" applyNumberFormat="1">
      <alignment horizontal="right" shrinkToFit="0" vertical="center" wrapText="0"/>
    </xf>
    <xf borderId="16" fillId="2" fontId="22" numFmtId="164" xfId="0" applyAlignment="1" applyBorder="1" applyFont="1" applyNumberFormat="1">
      <alignment horizontal="right" shrinkToFit="0" vertical="center" wrapText="0"/>
    </xf>
    <xf borderId="20" fillId="2" fontId="22" numFmtId="164" xfId="0" applyAlignment="1" applyBorder="1" applyFont="1" applyNumberFormat="1">
      <alignment horizontal="right" shrinkToFit="0" vertical="center" wrapText="0"/>
    </xf>
    <xf borderId="0" fillId="0" fontId="19" numFmtId="3" xfId="0" applyAlignment="1" applyFont="1" applyNumberFormat="1">
      <alignment horizontal="right"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18" numFmtId="0" xfId="0" applyAlignment="1" applyFont="1">
      <alignment shrinkToFit="0" vertical="center" wrapText="0"/>
    </xf>
    <xf borderId="0" fillId="0" fontId="18" numFmtId="0" xfId="0" applyAlignment="1" applyFont="1">
      <alignment shrinkToFit="0" vertical="bottom" wrapText="0"/>
    </xf>
    <xf borderId="0" fillId="0" fontId="19" numFmtId="164" xfId="0" applyAlignment="1" applyFont="1" applyNumberFormat="1">
      <alignment horizontal="right" shrinkToFit="0" vertical="center" wrapText="0"/>
    </xf>
    <xf borderId="0" fillId="0" fontId="18" numFmtId="164" xfId="0" applyAlignment="1" applyFont="1" applyNumberFormat="1">
      <alignment horizontal="right" shrinkToFit="0" vertical="center" wrapText="0"/>
    </xf>
    <xf borderId="7" fillId="0" fontId="19" numFmtId="0" xfId="0" applyAlignment="1" applyBorder="1" applyFont="1">
      <alignment horizontal="left" shrinkToFit="0" vertical="center" wrapText="0"/>
    </xf>
    <xf borderId="7" fillId="0" fontId="18" numFmtId="0" xfId="0" applyAlignment="1" applyBorder="1" applyFont="1">
      <alignment shrinkToFit="0" vertical="center" wrapText="0"/>
    </xf>
    <xf borderId="7" fillId="0" fontId="17" numFmtId="0" xfId="0" applyAlignment="1" applyBorder="1" applyFont="1">
      <alignment horizontal="left" shrinkToFit="0" vertical="center" wrapText="0"/>
    </xf>
    <xf borderId="7" fillId="0" fontId="16" numFmtId="0" xfId="0" applyAlignment="1" applyBorder="1" applyFont="1">
      <alignment shrinkToFit="0" vertical="bottom" wrapText="0"/>
    </xf>
    <xf borderId="0" fillId="0" fontId="17" numFmtId="164" xfId="0" applyAlignment="1" applyFont="1" applyNumberFormat="1">
      <alignment horizontal="right" shrinkToFit="0" vertical="center" wrapText="0"/>
    </xf>
    <xf borderId="0" fillId="0" fontId="23" numFmtId="164" xfId="0" applyAlignment="1" applyFont="1" applyNumberFormat="1">
      <alignment horizontal="right" shrinkToFit="0" vertical="center" wrapText="0"/>
    </xf>
    <xf borderId="23" fillId="0" fontId="20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24" fillId="0" fontId="18" numFmtId="0" xfId="0" applyAlignment="1" applyBorder="1" applyFont="1">
      <alignment shrinkToFit="0" vertical="bottom" wrapText="0"/>
    </xf>
    <xf borderId="24" fillId="0" fontId="17" numFmtId="164" xfId="0" applyAlignment="1" applyBorder="1" applyFont="1" applyNumberFormat="1">
      <alignment horizontal="right" shrinkToFit="0" vertical="center" wrapText="0"/>
    </xf>
    <xf borderId="24" fillId="0" fontId="23" numFmtId="164" xfId="0" applyAlignment="1" applyBorder="1" applyFont="1" applyNumberFormat="1">
      <alignment horizontal="right" shrinkToFit="0" vertical="center" wrapText="0"/>
    </xf>
    <xf borderId="25" fillId="0" fontId="23" numFmtId="164" xfId="0" applyAlignment="1" applyBorder="1" applyFont="1" applyNumberFormat="1">
      <alignment horizontal="right" shrinkToFit="0" vertical="center" wrapText="0"/>
    </xf>
    <xf borderId="12" fillId="0" fontId="18" numFmtId="0" xfId="0" applyAlignment="1" applyBorder="1" applyFont="1">
      <alignment shrinkToFit="0" vertical="bottom" wrapText="0"/>
    </xf>
    <xf borderId="13" fillId="0" fontId="17" numFmtId="164" xfId="0" applyAlignment="1" applyBorder="1" applyFont="1" applyNumberFormat="1">
      <alignment horizontal="right" shrinkToFit="0" vertical="center" wrapText="0"/>
    </xf>
    <xf borderId="13" fillId="0" fontId="23" numFmtId="164" xfId="0" applyAlignment="1" applyBorder="1" applyFont="1" applyNumberFormat="1">
      <alignment horizontal="right" shrinkToFit="0" vertical="center" wrapText="0"/>
    </xf>
    <xf borderId="14" fillId="0" fontId="23" numFmtId="164" xfId="0" applyAlignment="1" applyBorder="1" applyFont="1" applyNumberFormat="1">
      <alignment horizontal="right" shrinkToFit="0" vertical="center" wrapText="0"/>
    </xf>
    <xf borderId="12" fillId="0" fontId="18" numFmtId="3" xfId="0" applyAlignment="1" applyBorder="1" applyFont="1" applyNumberFormat="1">
      <alignment horizontal="right" shrinkToFit="0" vertical="center" wrapText="0"/>
    </xf>
    <xf borderId="13" fillId="0" fontId="18" numFmtId="0" xfId="0" applyAlignment="1" applyBorder="1" applyFont="1">
      <alignment horizontal="left" shrinkToFit="0" vertical="center" wrapText="0"/>
    </xf>
    <xf borderId="10" fillId="0" fontId="20" numFmtId="164" xfId="0" applyAlignment="1" applyBorder="1" applyFont="1" applyNumberFormat="1">
      <alignment horizontal="right" shrinkToFit="0" vertical="center" wrapText="0"/>
    </xf>
    <xf borderId="13" fillId="0" fontId="24" numFmtId="164" xfId="0" applyAlignment="1" applyBorder="1" applyFont="1" applyNumberFormat="1">
      <alignment horizontal="right" shrinkToFit="0" vertical="center" wrapText="0"/>
    </xf>
    <xf borderId="14" fillId="0" fontId="24" numFmtId="164" xfId="0" applyAlignment="1" applyBorder="1" applyFont="1" applyNumberFormat="1">
      <alignment horizontal="right" shrinkToFit="0" vertical="center" wrapText="0"/>
    </xf>
    <xf borderId="13" fillId="0" fontId="20" numFmtId="0" xfId="0" applyAlignment="1" applyBorder="1" applyFont="1">
      <alignment shrinkToFit="0" vertical="bottom" wrapText="0"/>
    </xf>
    <xf borderId="13" fillId="0" fontId="20" numFmtId="164" xfId="0" applyAlignment="1" applyBorder="1" applyFont="1" applyNumberFormat="1">
      <alignment horizontal="right" shrinkToFit="0" vertical="center" wrapText="0"/>
    </xf>
    <xf borderId="21" fillId="0" fontId="18" numFmtId="3" xfId="0" applyAlignment="1" applyBorder="1" applyFont="1" applyNumberFormat="1">
      <alignment horizontal="right" shrinkToFit="0" vertical="center" wrapText="0"/>
    </xf>
    <xf borderId="22" fillId="0" fontId="18" numFmtId="0" xfId="0" applyAlignment="1" applyBorder="1" applyFont="1">
      <alignment horizontal="left" shrinkToFit="0" vertical="center" wrapText="0"/>
    </xf>
    <xf borderId="22" fillId="0" fontId="18" numFmtId="0" xfId="0" applyAlignment="1" applyBorder="1" applyFont="1">
      <alignment shrinkToFit="0" vertical="center" wrapText="0"/>
    </xf>
    <xf borderId="22" fillId="0" fontId="18" numFmtId="0" xfId="0" applyAlignment="1" applyBorder="1" applyFont="1">
      <alignment shrinkToFit="0" vertical="bottom" wrapText="0"/>
    </xf>
    <xf borderId="22" fillId="0" fontId="16" numFmtId="0" xfId="0" applyAlignment="1" applyBorder="1" applyFont="1">
      <alignment shrinkToFit="0" vertical="bottom" wrapText="0"/>
    </xf>
    <xf borderId="22" fillId="0" fontId="23" numFmtId="0" xfId="0" applyAlignment="1" applyBorder="1" applyFont="1">
      <alignment shrinkToFit="0" vertical="bottom" wrapText="0"/>
    </xf>
    <xf borderId="26" fillId="0" fontId="23" numFmtId="0" xfId="0" applyAlignment="1" applyBorder="1" applyFont="1">
      <alignment shrinkToFit="0" vertical="bottom" wrapText="0"/>
    </xf>
    <xf borderId="27" fillId="2" fontId="18" numFmtId="3" xfId="0" applyAlignment="1" applyBorder="1" applyFont="1" applyNumberFormat="1">
      <alignment horizontal="right" shrinkToFit="0" vertical="center" wrapText="0"/>
    </xf>
    <xf borderId="28" fillId="2" fontId="18" numFmtId="0" xfId="0" applyAlignment="1" applyBorder="1" applyFont="1">
      <alignment horizontal="left" shrinkToFit="0" vertical="center" wrapText="0"/>
    </xf>
    <xf borderId="28" fillId="2" fontId="21" numFmtId="0" xfId="0" applyAlignment="1" applyBorder="1" applyFont="1">
      <alignment shrinkToFit="0" vertical="bottom" wrapText="0"/>
    </xf>
    <xf borderId="28" fillId="2" fontId="22" numFmtId="165" xfId="0" applyAlignment="1" applyBorder="1" applyFont="1" applyNumberFormat="1">
      <alignment shrinkToFit="0" vertical="bottom" wrapText="0"/>
    </xf>
    <xf borderId="29" fillId="2" fontId="22" numFmtId="165" xfId="0" applyAlignment="1" applyBorder="1" applyFont="1" applyNumberFormat="1">
      <alignment shrinkToFit="0" vertical="bottom" wrapText="0"/>
    </xf>
    <xf borderId="30" fillId="2" fontId="22" numFmtId="164" xfId="0" applyAlignment="1" applyBorder="1" applyFont="1" applyNumberFormat="1">
      <alignment horizontal="right" shrinkToFit="0" vertical="center" wrapText="0"/>
    </xf>
    <xf borderId="31" fillId="4" fontId="5" numFmtId="0" xfId="0" applyAlignment="1" applyBorder="1" applyFill="1" applyFont="1">
      <alignment shrinkToFit="0" vertical="bottom" wrapText="0"/>
    </xf>
    <xf borderId="31" fillId="4" fontId="18" numFmtId="3" xfId="0" applyAlignment="1" applyBorder="1" applyFont="1" applyNumberFormat="1">
      <alignment horizontal="right" shrinkToFit="0" vertical="center" wrapText="0"/>
    </xf>
    <xf borderId="31" fillId="4" fontId="18" numFmtId="0" xfId="0" applyAlignment="1" applyBorder="1" applyFont="1">
      <alignment horizontal="left" shrinkToFit="0" vertical="center" wrapText="0"/>
    </xf>
    <xf borderId="31" fillId="4" fontId="23" numFmtId="0" xfId="0" applyAlignment="1" applyBorder="1" applyFont="1">
      <alignment shrinkToFit="0" vertical="center" wrapText="0"/>
    </xf>
    <xf borderId="31" fillId="4" fontId="25" numFmtId="0" xfId="0" applyAlignment="1" applyBorder="1" applyFont="1">
      <alignment horizontal="left" shrinkToFit="0" vertical="center" wrapText="0"/>
    </xf>
    <xf borderId="31" fillId="4" fontId="21" numFmtId="0" xfId="0" applyAlignment="1" applyBorder="1" applyFont="1">
      <alignment shrinkToFit="0" vertical="bottom" wrapText="0"/>
    </xf>
    <xf borderId="31" fillId="4" fontId="22" numFmtId="165" xfId="0" applyAlignment="1" applyBorder="1" applyFont="1" applyNumberFormat="1">
      <alignment shrinkToFit="0" vertical="bottom" wrapText="0"/>
    </xf>
    <xf borderId="31" fillId="4" fontId="22" numFmtId="164" xfId="0" applyAlignment="1" applyBorder="1" applyFont="1" applyNumberFormat="1">
      <alignment horizontal="right" shrinkToFit="0" vertical="center" wrapText="0"/>
    </xf>
    <xf borderId="0" fillId="0" fontId="17" numFmtId="165" xfId="0" applyAlignment="1" applyFont="1" applyNumberFormat="1">
      <alignment horizontal="right" shrinkToFit="0" vertical="center" wrapText="0"/>
    </xf>
    <xf borderId="0" fillId="0" fontId="22" numFmtId="165" xfId="0" applyAlignment="1" applyFont="1" applyNumberFormat="1">
      <alignment horizontal="right" shrinkToFit="0" vertical="center" wrapText="0"/>
    </xf>
    <xf borderId="1" fillId="0" fontId="20" numFmtId="0" xfId="0" applyAlignment="1" applyBorder="1" applyFont="1">
      <alignment shrinkToFit="0" vertical="center" wrapText="0"/>
    </xf>
    <xf borderId="2" fillId="0" fontId="23" numFmtId="0" xfId="0" applyAlignment="1" applyBorder="1" applyFont="1">
      <alignment shrinkToFit="0" vertical="bottom" wrapText="0"/>
    </xf>
    <xf borderId="3" fillId="0" fontId="23" numFmtId="0" xfId="0" applyAlignment="1" applyBorder="1" applyFont="1">
      <alignment shrinkToFit="0" vertical="bottom" wrapText="0"/>
    </xf>
    <xf borderId="4" fillId="0" fontId="18" numFmtId="0" xfId="0" applyAlignment="1" applyBorder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5" fillId="0" fontId="23" numFmtId="0" xfId="0" applyAlignment="1" applyBorder="1" applyFont="1">
      <alignment shrinkToFit="0" vertical="bottom" wrapText="0"/>
    </xf>
    <xf borderId="9" fillId="0" fontId="18" numFmtId="3" xfId="0" applyAlignment="1" applyBorder="1" applyFont="1" applyNumberFormat="1">
      <alignment horizontal="right" shrinkToFit="0" vertical="center" wrapText="0"/>
    </xf>
    <xf borderId="10" fillId="0" fontId="18" numFmtId="0" xfId="0" applyAlignment="1" applyBorder="1" applyFont="1">
      <alignment horizontal="left" shrinkToFit="0" vertical="center" wrapText="0"/>
    </xf>
    <xf borderId="10" fillId="0" fontId="18" numFmtId="0" xfId="0" applyAlignment="1" applyBorder="1" applyFont="1">
      <alignment shrinkToFit="0" vertical="bottom" wrapText="0"/>
    </xf>
    <xf borderId="10" fillId="0" fontId="24" numFmtId="164" xfId="0" applyAlignment="1" applyBorder="1" applyFont="1" applyNumberFormat="1">
      <alignment horizontal="right" shrinkToFit="0" vertical="center" wrapText="0"/>
    </xf>
    <xf borderId="11" fillId="0" fontId="24" numFmtId="164" xfId="0" applyAlignment="1" applyBorder="1" applyFont="1" applyNumberFormat="1">
      <alignment horizontal="right" shrinkToFit="0" vertical="center" wrapText="0"/>
    </xf>
    <xf borderId="13" fillId="0" fontId="24" numFmtId="0" xfId="0" applyAlignment="1" applyBorder="1" applyFont="1">
      <alignment shrinkToFit="0" vertical="bottom" wrapText="0"/>
    </xf>
    <xf borderId="10" fillId="0" fontId="18" numFmtId="0" xfId="0" applyAlignment="1" applyBorder="1" applyFont="1">
      <alignment readingOrder="0" shrinkToFit="0" vertical="center" wrapText="0"/>
    </xf>
    <xf borderId="13" fillId="0" fontId="23" numFmtId="0" xfId="0" applyAlignment="1" applyBorder="1" applyFont="1">
      <alignment shrinkToFit="0" vertical="bottom" wrapText="0"/>
    </xf>
    <xf borderId="14" fillId="0" fontId="23" numFmtId="0" xfId="0" applyAlignment="1" applyBorder="1" applyFont="1">
      <alignment shrinkToFit="0" vertical="bottom" wrapText="0"/>
    </xf>
    <xf borderId="21" fillId="2" fontId="16" numFmtId="0" xfId="0" applyAlignment="1" applyBorder="1" applyFont="1">
      <alignment shrinkToFit="0" vertical="bottom" wrapText="0"/>
    </xf>
    <xf borderId="22" fillId="2" fontId="16" numFmtId="0" xfId="0" applyAlignment="1" applyBorder="1" applyFont="1">
      <alignment shrinkToFit="0" vertical="bottom" wrapText="0"/>
    </xf>
    <xf borderId="22" fillId="2" fontId="3" numFmtId="0" xfId="0" applyAlignment="1" applyBorder="1" applyFont="1">
      <alignment horizontal="left" shrinkToFit="0" vertical="center" wrapText="0"/>
    </xf>
    <xf borderId="22" fillId="2" fontId="21" numFmtId="0" xfId="0" applyAlignment="1" applyBorder="1" applyFont="1">
      <alignment shrinkToFit="0" vertical="bottom" wrapText="0"/>
    </xf>
    <xf borderId="22" fillId="2" fontId="22" numFmtId="164" xfId="0" applyAlignment="1" applyBorder="1" applyFont="1" applyNumberFormat="1">
      <alignment horizontal="right" shrinkToFit="0" vertical="center" wrapText="0"/>
    </xf>
    <xf borderId="26" fillId="2" fontId="22" numFmtId="164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6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22" numFmtId="164" xfId="0" applyAlignment="1" applyFont="1" applyNumberFormat="1">
      <alignment horizontal="right" shrinkToFit="0" vertical="center" wrapText="0"/>
    </xf>
    <xf borderId="24" fillId="0" fontId="16" numFmtId="0" xfId="0" applyAlignment="1" applyBorder="1" applyFont="1">
      <alignment shrinkToFit="0" vertical="bottom" wrapText="0"/>
    </xf>
    <xf borderId="24" fillId="0" fontId="23" numFmtId="0" xfId="0" applyAlignment="1" applyBorder="1" applyFont="1">
      <alignment shrinkToFit="0" vertical="bottom" wrapText="0"/>
    </xf>
    <xf borderId="25" fillId="0" fontId="23" numFmtId="0" xfId="0" applyAlignment="1" applyBorder="1" applyFont="1">
      <alignment shrinkToFit="0" vertical="bottom" wrapText="0"/>
    </xf>
    <xf borderId="13" fillId="0" fontId="24" numFmtId="165" xfId="0" applyAlignment="1" applyBorder="1" applyFont="1" applyNumberFormat="1">
      <alignment shrinkToFit="0" vertical="bottom" wrapText="0"/>
    </xf>
    <xf borderId="12" fillId="0" fontId="19" numFmtId="0" xfId="0" applyAlignment="1" applyBorder="1" applyFont="1">
      <alignment shrinkToFit="0" vertical="bottom" wrapText="0"/>
    </xf>
    <xf borderId="0" fillId="0" fontId="26" numFmtId="0" xfId="0" applyFont="1"/>
    <xf borderId="18" fillId="0" fontId="16" numFmtId="0" xfId="0" applyAlignment="1" applyBorder="1" applyFont="1">
      <alignment shrinkToFit="0" vertical="bottom" wrapText="0"/>
    </xf>
    <xf borderId="17" fillId="0" fontId="17" numFmtId="164" xfId="0" applyAlignment="1" applyBorder="1" applyFont="1" applyNumberFormat="1">
      <alignment horizontal="right" shrinkToFit="0" vertical="center" wrapText="0"/>
    </xf>
    <xf borderId="17" fillId="0" fontId="24" numFmtId="164" xfId="0" applyAlignment="1" applyBorder="1" applyFont="1" applyNumberFormat="1">
      <alignment horizontal="right" shrinkToFit="0" vertical="center" wrapText="0"/>
    </xf>
    <xf borderId="19" fillId="0" fontId="22" numFmtId="164" xfId="0" applyAlignment="1" applyBorder="1" applyFont="1" applyNumberFormat="1">
      <alignment horizontal="right" shrinkToFit="0" vertical="center" wrapText="0"/>
    </xf>
    <xf borderId="15" fillId="2" fontId="16" numFmtId="0" xfId="0" applyAlignment="1" applyBorder="1" applyFont="1">
      <alignment shrinkToFit="0" vertical="bottom" wrapText="0"/>
    </xf>
    <xf borderId="16" fillId="2" fontId="16" numFmtId="0" xfId="0" applyAlignment="1" applyBorder="1" applyFont="1">
      <alignment shrinkToFit="0" vertical="bottom" wrapText="0"/>
    </xf>
    <xf borderId="24" fillId="0" fontId="2" numFmtId="0" xfId="0" applyAlignment="1" applyBorder="1" applyFont="1">
      <alignment shrinkToFit="0" vertical="center" wrapText="0"/>
    </xf>
    <xf borderId="24" fillId="0" fontId="1" numFmtId="0" xfId="0" applyAlignment="1" applyBorder="1" applyFont="1">
      <alignment shrinkToFit="0" vertical="bottom" wrapText="0"/>
    </xf>
    <xf borderId="22" fillId="2" fontId="6" numFmtId="0" xfId="0" applyAlignment="1" applyBorder="1" applyFont="1">
      <alignment shrinkToFit="0" vertical="bottom" wrapText="0"/>
    </xf>
    <xf borderId="17" fillId="0" fontId="23" numFmtId="0" xfId="0" applyAlignment="1" applyBorder="1" applyFont="1">
      <alignment shrinkToFit="0" vertical="bottom" wrapText="0"/>
    </xf>
    <xf borderId="19" fillId="0" fontId="23" numFmtId="0" xfId="0" applyAlignment="1" applyBorder="1" applyFont="1">
      <alignment shrinkToFit="0" vertical="bottom" wrapText="0"/>
    </xf>
    <xf borderId="32" fillId="3" fontId="16" numFmtId="0" xfId="0" applyAlignment="1" applyBorder="1" applyFont="1">
      <alignment shrinkToFit="0" vertical="bottom" wrapText="0"/>
    </xf>
    <xf borderId="33" fillId="3" fontId="16" numFmtId="0" xfId="0" applyAlignment="1" applyBorder="1" applyFont="1">
      <alignment shrinkToFit="0" vertical="bottom" wrapText="0"/>
    </xf>
    <xf borderId="33" fillId="3" fontId="27" numFmtId="0" xfId="0" applyAlignment="1" applyBorder="1" applyFont="1">
      <alignment shrinkToFit="0" vertical="bottom" wrapText="0"/>
    </xf>
    <xf borderId="33" fillId="3" fontId="28" numFmtId="0" xfId="0" applyAlignment="1" applyBorder="1" applyFont="1">
      <alignment horizontal="left" shrinkToFit="0" vertical="center" wrapText="0"/>
    </xf>
    <xf borderId="33" fillId="3" fontId="29" numFmtId="0" xfId="0" applyAlignment="1" applyBorder="1" applyFont="1">
      <alignment shrinkToFit="0" vertical="bottom" wrapText="0"/>
    </xf>
    <xf borderId="33" fillId="3" fontId="30" numFmtId="0" xfId="0" applyAlignment="1" applyBorder="1" applyFont="1">
      <alignment shrinkToFit="0" vertical="bottom" wrapText="0"/>
    </xf>
    <xf borderId="33" fillId="3" fontId="24" numFmtId="164" xfId="0" applyAlignment="1" applyBorder="1" applyFont="1" applyNumberFormat="1">
      <alignment horizontal="right" shrinkToFit="0" vertical="center" wrapText="0"/>
    </xf>
    <xf borderId="0" fillId="0" fontId="5" numFmtId="4" xfId="0" applyAlignment="1" applyFont="1" applyNumberForma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19050</xdr:rowOff>
    </xdr:from>
    <xdr:ext cx="1228725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0</xdr:row>
      <xdr:rowOff>9525</xdr:rowOff>
    </xdr:from>
    <xdr:ext cx="204787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19050</xdr:rowOff>
    </xdr:from>
    <xdr:ext cx="1228725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.0"/>
    <col customWidth="1" min="3" max="3" width="1.71"/>
    <col customWidth="1" min="4" max="4" width="3.43"/>
    <col customWidth="1" min="5" max="5" width="11.43"/>
    <col customWidth="1" min="6" max="6" width="10.43"/>
    <col customWidth="1" min="7" max="7" width="19.71"/>
    <col customWidth="1" min="8" max="8" width="14.57"/>
    <col customWidth="1" min="9" max="9" width="15.14"/>
    <col customWidth="1" min="10" max="10" width="14.29"/>
    <col customWidth="1" min="11" max="16" width="11.43"/>
    <col customWidth="1" min="17" max="26" width="8.0"/>
  </cols>
  <sheetData>
    <row r="1" ht="12.75" customHeight="1"/>
    <row r="2" ht="12.75" customHeight="1"/>
    <row r="3" ht="12.75" customHeight="1"/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ht="14.25" customHeight="1">
      <c r="A5" s="1"/>
      <c r="B5" s="1"/>
      <c r="C5" s="1"/>
      <c r="D5" s="2" t="s">
        <v>0</v>
      </c>
      <c r="E5" s="2"/>
      <c r="F5" s="2"/>
      <c r="G5" s="1"/>
      <c r="H5" s="1"/>
      <c r="I5" s="1"/>
      <c r="J5" s="1"/>
    </row>
    <row r="6" ht="14.25" customHeight="1">
      <c r="A6" s="1"/>
      <c r="B6" s="1"/>
      <c r="C6" s="1"/>
      <c r="D6" s="2" t="s">
        <v>1</v>
      </c>
      <c r="E6" s="2"/>
      <c r="F6" s="2"/>
      <c r="G6" s="1"/>
      <c r="H6" s="1"/>
      <c r="I6" s="1"/>
      <c r="J6" s="1"/>
    </row>
    <row r="7" ht="14.25" customHeight="1">
      <c r="A7" s="1"/>
      <c r="B7" s="1"/>
      <c r="C7" s="1"/>
      <c r="D7" s="3" t="s">
        <v>2</v>
      </c>
      <c r="E7" s="2"/>
      <c r="F7" s="2"/>
      <c r="G7" s="1"/>
      <c r="H7" s="1"/>
      <c r="I7" s="1"/>
      <c r="J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ht="15.0" customHeight="1">
      <c r="A10" s="1"/>
      <c r="B10" s="1"/>
      <c r="C10" s="4" t="s">
        <v>3</v>
      </c>
      <c r="D10" s="1"/>
      <c r="E10" s="1"/>
      <c r="F10" s="1"/>
      <c r="G10" s="1"/>
      <c r="H10" s="1"/>
      <c r="I10" s="1"/>
      <c r="J10" s="1"/>
    </row>
    <row r="11" ht="14.25" customHeight="1">
      <c r="A11" s="1"/>
      <c r="B11" s="5"/>
      <c r="C11" s="6"/>
      <c r="D11" s="6"/>
      <c r="E11" s="6"/>
      <c r="F11" s="6"/>
      <c r="G11" s="6"/>
      <c r="H11" s="7" t="s">
        <v>4</v>
      </c>
      <c r="I11" s="7" t="s">
        <v>5</v>
      </c>
      <c r="J11" s="8" t="s">
        <v>6</v>
      </c>
    </row>
    <row r="12" ht="14.25" customHeight="1">
      <c r="A12" s="1"/>
      <c r="B12" s="9"/>
      <c r="C12" s="1"/>
      <c r="D12" s="1"/>
      <c r="E12" s="1"/>
      <c r="F12" s="1"/>
      <c r="G12" s="1"/>
      <c r="H12" s="10" t="s">
        <v>7</v>
      </c>
      <c r="I12" s="10" t="s">
        <v>8</v>
      </c>
      <c r="J12" s="11" t="s">
        <v>7</v>
      </c>
    </row>
    <row r="13" ht="15.0" customHeight="1">
      <c r="A13" s="1"/>
      <c r="B13" s="12"/>
      <c r="C13" s="13"/>
      <c r="D13" s="13"/>
      <c r="E13" s="13"/>
      <c r="F13" s="13"/>
      <c r="G13" s="13"/>
      <c r="H13" s="13"/>
      <c r="I13" s="13"/>
      <c r="J13" s="14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14.25" customHeight="1">
      <c r="A15" s="1"/>
      <c r="B15" s="5"/>
      <c r="C15" s="6"/>
      <c r="D15" s="15" t="s">
        <v>9</v>
      </c>
      <c r="E15" s="6"/>
      <c r="F15" s="6"/>
      <c r="G15" s="6"/>
      <c r="H15" s="6"/>
      <c r="I15" s="6"/>
      <c r="J15" s="16"/>
    </row>
    <row r="16" ht="14.25" customHeight="1">
      <c r="A16" s="1"/>
      <c r="B16" s="17"/>
      <c r="C16" s="18"/>
      <c r="D16" s="1"/>
      <c r="E16" s="1"/>
      <c r="F16" s="1"/>
      <c r="G16" s="1"/>
      <c r="H16" s="1"/>
      <c r="I16" s="1"/>
      <c r="J16" s="19"/>
      <c r="K16" s="20"/>
    </row>
    <row r="17" ht="14.25" customHeight="1">
      <c r="A17" s="1"/>
      <c r="B17" s="21">
        <v>1.0</v>
      </c>
      <c r="C17" s="22" t="s">
        <v>10</v>
      </c>
      <c r="D17" s="23" t="s">
        <v>11</v>
      </c>
      <c r="E17" s="24"/>
      <c r="F17" s="24"/>
      <c r="G17" s="24"/>
      <c r="H17" s="25">
        <v>10618.206607600638</v>
      </c>
      <c r="I17" s="25">
        <v>8152.73</v>
      </c>
      <c r="J17" s="26">
        <f t="shared" ref="J17:J19" si="1">+H17-I17</f>
        <v>2465.476608</v>
      </c>
      <c r="K17" s="20"/>
      <c r="L17" s="27"/>
      <c r="M17" s="27"/>
    </row>
    <row r="18" ht="14.25" customHeight="1">
      <c r="A18" s="1"/>
      <c r="B18" s="28"/>
      <c r="C18" s="29"/>
      <c r="D18" s="30"/>
      <c r="E18" s="30"/>
      <c r="F18" s="30"/>
      <c r="G18" s="30"/>
      <c r="H18" s="31"/>
      <c r="I18" s="31">
        <v>0.0</v>
      </c>
      <c r="J18" s="32">
        <f t="shared" si="1"/>
        <v>0</v>
      </c>
      <c r="K18" s="20"/>
      <c r="L18" s="27"/>
    </row>
    <row r="19" ht="14.25" customHeight="1">
      <c r="A19" s="1"/>
      <c r="B19" s="28">
        <v>2.0</v>
      </c>
      <c r="C19" s="29" t="s">
        <v>10</v>
      </c>
      <c r="D19" s="33" t="s">
        <v>12</v>
      </c>
      <c r="E19" s="30"/>
      <c r="F19" s="30"/>
      <c r="G19" s="30"/>
      <c r="H19" s="31">
        <v>24999.99920127796</v>
      </c>
      <c r="I19" s="31">
        <v>10041.66</v>
      </c>
      <c r="J19" s="26">
        <f t="shared" si="1"/>
        <v>14958.3392</v>
      </c>
      <c r="L19" s="27"/>
    </row>
    <row r="20" ht="14.25" customHeight="1">
      <c r="A20" s="1"/>
      <c r="B20" s="28"/>
      <c r="C20" s="29"/>
      <c r="D20" s="30"/>
      <c r="E20" s="30"/>
      <c r="F20" s="30"/>
      <c r="G20" s="30"/>
      <c r="H20" s="30"/>
      <c r="I20" s="34"/>
      <c r="J20" s="35"/>
      <c r="K20" s="20"/>
    </row>
    <row r="21" ht="14.25" customHeight="1">
      <c r="A21" s="1"/>
      <c r="B21" s="36"/>
      <c r="C21" s="37"/>
      <c r="D21" s="38"/>
      <c r="E21" s="38"/>
      <c r="F21" s="39" t="s">
        <v>13</v>
      </c>
      <c r="G21" s="40"/>
      <c r="H21" s="41">
        <f t="shared" ref="H21:J21" si="2">SUM(H17:H19)</f>
        <v>35618.20581</v>
      </c>
      <c r="I21" s="41">
        <f t="shared" si="2"/>
        <v>18194.39</v>
      </c>
      <c r="J21" s="41">
        <f t="shared" si="2"/>
        <v>17423.81581</v>
      </c>
    </row>
    <row r="22" ht="14.25" customHeight="1">
      <c r="A22" s="1"/>
      <c r="B22" s="21"/>
      <c r="C22" s="22"/>
      <c r="D22" s="24"/>
      <c r="E22" s="24"/>
      <c r="F22" s="24"/>
      <c r="G22" s="42"/>
      <c r="H22" s="24"/>
      <c r="I22" s="43"/>
      <c r="J22" s="44"/>
    </row>
    <row r="23" ht="14.25" customHeight="1">
      <c r="A23" s="1"/>
      <c r="B23" s="45"/>
      <c r="C23" s="29"/>
      <c r="D23" s="30"/>
      <c r="E23" s="30"/>
      <c r="F23" s="30"/>
      <c r="G23" s="30"/>
      <c r="H23" s="30"/>
      <c r="I23" s="46"/>
      <c r="J23" s="47"/>
    </row>
    <row r="24" ht="14.25" customHeight="1">
      <c r="A24" s="1"/>
      <c r="B24" s="28"/>
      <c r="C24" s="29"/>
      <c r="D24" s="48" t="s">
        <v>14</v>
      </c>
      <c r="E24" s="30"/>
      <c r="F24" s="30"/>
      <c r="G24" s="30"/>
      <c r="H24" s="30"/>
      <c r="I24" s="46"/>
      <c r="J24" s="49"/>
      <c r="K24" s="20"/>
    </row>
    <row r="25" ht="14.25" customHeight="1">
      <c r="A25" s="1"/>
      <c r="B25" s="28"/>
      <c r="C25" s="29"/>
      <c r="D25" s="30"/>
      <c r="E25" s="30"/>
      <c r="F25" s="30"/>
      <c r="G25" s="30"/>
      <c r="H25" s="30"/>
      <c r="I25" s="46"/>
      <c r="J25" s="49"/>
      <c r="K25" s="20"/>
    </row>
    <row r="26" ht="14.25" customHeight="1">
      <c r="A26" s="1"/>
      <c r="B26" s="28">
        <v>1.0</v>
      </c>
      <c r="C26" s="29" t="s">
        <v>10</v>
      </c>
      <c r="D26" s="33" t="s">
        <v>15</v>
      </c>
      <c r="E26" s="30"/>
      <c r="F26" s="30"/>
      <c r="G26" s="30" t="s">
        <v>16</v>
      </c>
      <c r="H26" s="50">
        <v>10567.320617185302</v>
      </c>
      <c r="I26" s="31">
        <v>8487.06</v>
      </c>
      <c r="J26" s="49">
        <f>+H26-I26</f>
        <v>2080.260617</v>
      </c>
      <c r="K26" s="20"/>
    </row>
    <row r="27" ht="15.0" customHeight="1">
      <c r="A27" s="1"/>
      <c r="B27" s="28"/>
      <c r="C27" s="29"/>
      <c r="D27" s="30"/>
      <c r="E27" s="30"/>
      <c r="F27" s="30"/>
      <c r="G27" s="30"/>
      <c r="H27" s="30"/>
      <c r="I27" s="46"/>
      <c r="J27" s="49"/>
      <c r="K27" s="20"/>
    </row>
    <row r="28" ht="15.0" customHeight="1">
      <c r="A28" s="1"/>
      <c r="B28" s="51"/>
      <c r="C28" s="52"/>
      <c r="D28" s="53"/>
      <c r="E28" s="53"/>
      <c r="F28" s="54" t="s">
        <v>13</v>
      </c>
      <c r="G28" s="55"/>
      <c r="H28" s="56">
        <f t="shared" ref="H28:J28" si="3">SUM(H26:H27)</f>
        <v>10567.32062</v>
      </c>
      <c r="I28" s="56">
        <f t="shared" si="3"/>
        <v>8487.06</v>
      </c>
      <c r="J28" s="56">
        <f t="shared" si="3"/>
        <v>2080.260617</v>
      </c>
      <c r="K28" s="20"/>
    </row>
    <row r="29" ht="14.25" customHeight="1">
      <c r="A29" s="1"/>
      <c r="B29" s="21"/>
      <c r="C29" s="22"/>
      <c r="D29" s="24"/>
      <c r="E29" s="24"/>
      <c r="F29" s="42"/>
      <c r="G29" s="24"/>
      <c r="H29" s="24"/>
      <c r="I29" s="43"/>
      <c r="J29" s="26"/>
      <c r="K29" s="20"/>
    </row>
    <row r="30" ht="14.25" customHeight="1">
      <c r="A30" s="1"/>
      <c r="B30" s="57"/>
      <c r="C30" s="30"/>
      <c r="D30" s="30"/>
      <c r="E30" s="30"/>
      <c r="F30" s="30"/>
      <c r="G30" s="30"/>
      <c r="H30" s="30"/>
      <c r="I30" s="46"/>
      <c r="J30" s="49"/>
      <c r="K30" s="20"/>
    </row>
    <row r="31" ht="14.25" customHeight="1">
      <c r="A31" s="1"/>
      <c r="B31" s="45"/>
      <c r="C31" s="30"/>
      <c r="D31" s="48" t="s">
        <v>17</v>
      </c>
      <c r="E31" s="30"/>
      <c r="F31" s="30"/>
      <c r="G31" s="30"/>
      <c r="H31" s="30"/>
      <c r="I31" s="46"/>
      <c r="J31" s="49"/>
      <c r="K31" s="20"/>
    </row>
    <row r="32" ht="14.25" customHeight="1">
      <c r="A32" s="1"/>
      <c r="B32" s="28"/>
      <c r="C32" s="29"/>
      <c r="D32" s="30"/>
      <c r="E32" s="30"/>
      <c r="F32" s="30"/>
      <c r="G32" s="30"/>
      <c r="H32" s="30"/>
      <c r="I32" s="46"/>
      <c r="J32" s="49"/>
      <c r="K32" s="20"/>
    </row>
    <row r="33" ht="14.25" customHeight="1">
      <c r="A33" s="1"/>
      <c r="B33" s="28">
        <v>1.0</v>
      </c>
      <c r="C33" s="29" t="s">
        <v>10</v>
      </c>
      <c r="D33" s="33" t="s">
        <v>18</v>
      </c>
      <c r="E33" s="30"/>
      <c r="F33" s="30"/>
      <c r="G33" s="30"/>
      <c r="H33" s="31">
        <v>15978.204895140572</v>
      </c>
      <c r="I33" s="31">
        <v>7054.02</v>
      </c>
      <c r="J33" s="49">
        <f t="shared" ref="J33:J35" si="4">+H33-I33</f>
        <v>8924.184895</v>
      </c>
      <c r="K33" s="20"/>
    </row>
    <row r="34" ht="14.25" customHeight="1">
      <c r="A34" s="1"/>
      <c r="B34" s="28"/>
      <c r="C34" s="29"/>
      <c r="D34" s="58"/>
      <c r="E34" s="30"/>
      <c r="F34" s="30"/>
      <c r="G34" s="30"/>
      <c r="H34" s="31"/>
      <c r="I34" s="31">
        <v>0.0</v>
      </c>
      <c r="J34" s="59">
        <f t="shared" si="4"/>
        <v>0</v>
      </c>
      <c r="K34" s="20"/>
    </row>
    <row r="35" ht="14.25" customHeight="1">
      <c r="A35" s="1"/>
      <c r="B35" s="28">
        <v>2.0</v>
      </c>
      <c r="C35" s="29" t="s">
        <v>10</v>
      </c>
      <c r="D35" s="33" t="s">
        <v>19</v>
      </c>
      <c r="E35" s="30"/>
      <c r="F35" s="30"/>
      <c r="G35" s="30"/>
      <c r="H35" s="31">
        <v>10698.206582041532</v>
      </c>
      <c r="I35" s="60">
        <v>3415.73</v>
      </c>
      <c r="J35" s="49">
        <f t="shared" si="4"/>
        <v>7282.476582</v>
      </c>
      <c r="K35" s="20"/>
    </row>
    <row r="36" ht="15.0" customHeight="1">
      <c r="A36" s="1"/>
      <c r="B36" s="61"/>
      <c r="C36" s="62"/>
      <c r="D36" s="63"/>
      <c r="E36" s="63"/>
      <c r="F36" s="63"/>
      <c r="G36" s="64"/>
      <c r="H36" s="63"/>
      <c r="I36" s="65"/>
      <c r="J36" s="66"/>
      <c r="K36" s="20"/>
    </row>
    <row r="37" ht="15.0" customHeight="1">
      <c r="A37" s="1"/>
      <c r="B37" s="67"/>
      <c r="C37" s="53"/>
      <c r="D37" s="53"/>
      <c r="E37" s="53"/>
      <c r="F37" s="54" t="s">
        <v>13</v>
      </c>
      <c r="G37" s="55"/>
      <c r="H37" s="56">
        <f t="shared" ref="H37:I37" si="5">SUM(H33:H35)</f>
        <v>26676.41148</v>
      </c>
      <c r="I37" s="56">
        <f t="shared" si="5"/>
        <v>10469.75</v>
      </c>
      <c r="J37" s="68">
        <f>H37-I37</f>
        <v>16206.66148</v>
      </c>
      <c r="K37" s="20"/>
    </row>
    <row r="38" ht="14.25" customHeight="1">
      <c r="A38" s="1"/>
      <c r="B38" s="69"/>
      <c r="C38" s="24"/>
      <c r="D38" s="24"/>
      <c r="E38" s="24"/>
      <c r="F38" s="42"/>
      <c r="G38" s="24"/>
      <c r="H38" s="24"/>
      <c r="I38" s="43"/>
      <c r="J38" s="26"/>
      <c r="K38" s="20"/>
    </row>
    <row r="39" ht="14.25" customHeight="1">
      <c r="A39" s="1"/>
      <c r="B39" s="28"/>
      <c r="C39" s="29"/>
      <c r="D39" s="30"/>
      <c r="E39" s="30"/>
      <c r="F39" s="30"/>
      <c r="G39" s="30"/>
      <c r="H39" s="30"/>
      <c r="I39" s="46"/>
      <c r="J39" s="49"/>
      <c r="K39" s="20"/>
    </row>
    <row r="40" ht="14.25" customHeight="1">
      <c r="A40" s="1"/>
      <c r="B40" s="28"/>
      <c r="C40" s="29"/>
      <c r="D40" s="48" t="s">
        <v>20</v>
      </c>
      <c r="E40" s="30"/>
      <c r="F40" s="30"/>
      <c r="G40" s="30"/>
      <c r="H40" s="30"/>
      <c r="I40" s="46"/>
      <c r="J40" s="49"/>
      <c r="K40" s="20"/>
    </row>
    <row r="41" ht="14.25" customHeight="1">
      <c r="A41" s="1"/>
      <c r="B41" s="57"/>
      <c r="C41" s="30"/>
      <c r="D41" s="30"/>
      <c r="E41" s="30"/>
      <c r="F41" s="30"/>
      <c r="G41" s="30"/>
      <c r="H41" s="30"/>
      <c r="I41" s="46"/>
      <c r="J41" s="49"/>
      <c r="K41" s="20"/>
    </row>
    <row r="42" ht="14.25" customHeight="1">
      <c r="A42" s="1"/>
      <c r="B42" s="28">
        <v>1.0</v>
      </c>
      <c r="C42" s="29" t="s">
        <v>10</v>
      </c>
      <c r="D42" s="33" t="s">
        <v>21</v>
      </c>
      <c r="E42" s="30"/>
      <c r="F42" s="30"/>
      <c r="G42" s="30"/>
      <c r="H42" s="31">
        <v>15468.509706642173</v>
      </c>
      <c r="I42" s="31">
        <v>4493.9400000000005</v>
      </c>
      <c r="J42" s="49">
        <f>+H42-I42</f>
        <v>10974.56971</v>
      </c>
      <c r="K42" s="20"/>
    </row>
    <row r="43" ht="15.0" customHeight="1">
      <c r="A43" s="1"/>
      <c r="B43" s="61"/>
      <c r="C43" s="62"/>
      <c r="D43" s="63"/>
      <c r="E43" s="63"/>
      <c r="F43" s="63"/>
      <c r="G43" s="63"/>
      <c r="H43" s="63"/>
      <c r="I43" s="65"/>
      <c r="J43" s="66"/>
      <c r="K43" s="20"/>
    </row>
    <row r="44" ht="15.0" customHeight="1">
      <c r="A44" s="1"/>
      <c r="B44" s="67"/>
      <c r="C44" s="53"/>
      <c r="D44" s="53"/>
      <c r="E44" s="53"/>
      <c r="F44" s="54" t="s">
        <v>13</v>
      </c>
      <c r="G44" s="55"/>
      <c r="H44" s="56">
        <f t="shared" ref="H44:I44" si="6">SUM(H42)</f>
        <v>15468.50971</v>
      </c>
      <c r="I44" s="56">
        <f t="shared" si="6"/>
        <v>4493.94</v>
      </c>
      <c r="J44" s="68">
        <f>H44-I44</f>
        <v>10974.56971</v>
      </c>
      <c r="K44" s="20"/>
    </row>
    <row r="45" ht="14.25" customHeight="1">
      <c r="A45" s="1"/>
      <c r="B45" s="69"/>
      <c r="C45" s="24"/>
      <c r="D45" s="24"/>
      <c r="E45" s="24"/>
      <c r="F45" s="42"/>
      <c r="G45" s="24"/>
      <c r="H45" s="24"/>
      <c r="I45" s="43"/>
      <c r="J45" s="26"/>
      <c r="K45" s="20"/>
    </row>
    <row r="46" ht="14.25" customHeight="1">
      <c r="A46" s="1"/>
      <c r="B46" s="28"/>
      <c r="C46" s="29"/>
      <c r="D46" s="30"/>
      <c r="E46" s="30"/>
      <c r="F46" s="30"/>
      <c r="G46" s="30"/>
      <c r="H46" s="30"/>
      <c r="I46" s="46"/>
      <c r="J46" s="49"/>
      <c r="K46" s="20"/>
    </row>
    <row r="47" ht="14.25" customHeight="1">
      <c r="A47" s="1"/>
      <c r="B47" s="45"/>
      <c r="C47" s="30"/>
      <c r="D47" s="48" t="s">
        <v>22</v>
      </c>
      <c r="E47" s="30"/>
      <c r="F47" s="30"/>
      <c r="G47" s="30"/>
      <c r="H47" s="30"/>
      <c r="I47" s="46"/>
      <c r="J47" s="49"/>
      <c r="K47" s="20"/>
    </row>
    <row r="48" ht="14.25" customHeight="1">
      <c r="A48" s="1"/>
      <c r="B48" s="28"/>
      <c r="C48" s="29"/>
      <c r="D48" s="30"/>
      <c r="E48" s="30"/>
      <c r="F48" s="30"/>
      <c r="G48" s="30"/>
      <c r="H48" s="30"/>
      <c r="I48" s="46"/>
      <c r="J48" s="47"/>
    </row>
    <row r="49" ht="14.25" customHeight="1">
      <c r="A49" s="1"/>
      <c r="B49" s="28">
        <v>1.0</v>
      </c>
      <c r="C49" s="29" t="s">
        <v>10</v>
      </c>
      <c r="D49" s="33" t="s">
        <v>23</v>
      </c>
      <c r="E49" s="58"/>
      <c r="F49" s="58"/>
      <c r="G49" s="30"/>
      <c r="H49" s="31">
        <v>10458.20665871885</v>
      </c>
      <c r="I49" s="31">
        <v>5804.23</v>
      </c>
      <c r="J49" s="49">
        <f>+H49-I49</f>
        <v>4653.976659</v>
      </c>
    </row>
    <row r="50" ht="15.0" customHeight="1">
      <c r="A50" s="1"/>
      <c r="B50" s="61"/>
      <c r="C50" s="62"/>
      <c r="D50" s="63"/>
      <c r="E50" s="63"/>
      <c r="F50" s="63"/>
      <c r="G50" s="63"/>
      <c r="H50" s="63"/>
      <c r="I50" s="65"/>
      <c r="J50" s="70"/>
    </row>
    <row r="51" ht="15.0" customHeight="1">
      <c r="A51" s="1"/>
      <c r="B51" s="67"/>
      <c r="C51" s="53"/>
      <c r="D51" s="53"/>
      <c r="E51" s="53"/>
      <c r="F51" s="54" t="s">
        <v>13</v>
      </c>
      <c r="G51" s="55"/>
      <c r="H51" s="56">
        <f t="shared" ref="H51:I51" si="7">SUM(H49)</f>
        <v>10458.20666</v>
      </c>
      <c r="I51" s="56">
        <f t="shared" si="7"/>
        <v>5804.23</v>
      </c>
      <c r="J51" s="68">
        <f>H51-I51</f>
        <v>4653.976659</v>
      </c>
    </row>
    <row r="52" ht="14.25" customHeight="1">
      <c r="A52" s="1"/>
      <c r="B52" s="45"/>
      <c r="C52" s="30"/>
      <c r="D52" s="30"/>
      <c r="E52" s="30"/>
      <c r="F52" s="30"/>
      <c r="G52" s="71"/>
      <c r="H52" s="30"/>
      <c r="I52" s="46"/>
      <c r="J52" s="59"/>
    </row>
    <row r="53" ht="14.25" customHeight="1">
      <c r="A53" s="1"/>
      <c r="B53" s="45"/>
      <c r="C53" s="30"/>
      <c r="D53" s="48" t="s">
        <v>24</v>
      </c>
      <c r="E53" s="30"/>
      <c r="F53" s="30"/>
      <c r="G53" s="71"/>
      <c r="H53" s="30"/>
      <c r="I53" s="46"/>
      <c r="J53" s="59"/>
    </row>
    <row r="54" ht="14.25" customHeight="1">
      <c r="A54" s="1"/>
      <c r="B54" s="45"/>
      <c r="C54" s="30"/>
      <c r="D54" s="30"/>
      <c r="E54" s="30"/>
      <c r="F54" s="30"/>
      <c r="G54" s="71"/>
      <c r="H54" s="30"/>
      <c r="I54" s="46"/>
      <c r="J54" s="59"/>
    </row>
    <row r="55" ht="14.25" customHeight="1">
      <c r="A55" s="1"/>
      <c r="B55" s="28">
        <v>1.0</v>
      </c>
      <c r="C55" s="29" t="s">
        <v>10</v>
      </c>
      <c r="D55" s="33" t="s">
        <v>25</v>
      </c>
      <c r="E55" s="30"/>
      <c r="F55" s="58"/>
      <c r="G55" s="71"/>
      <c r="H55" s="31">
        <v>10618.206607600638</v>
      </c>
      <c r="I55" s="31">
        <v>6521.73</v>
      </c>
      <c r="J55" s="49">
        <f>+H55-I55</f>
        <v>4096.476608</v>
      </c>
    </row>
    <row r="56" ht="15.0" customHeight="1">
      <c r="A56" s="1"/>
      <c r="B56" s="72"/>
      <c r="C56" s="63"/>
      <c r="D56" s="63"/>
      <c r="E56" s="63"/>
      <c r="F56" s="63"/>
      <c r="G56" s="64"/>
      <c r="H56" s="63"/>
      <c r="I56" s="65"/>
      <c r="J56" s="73"/>
    </row>
    <row r="57" ht="15.0" customHeight="1">
      <c r="A57" s="1"/>
      <c r="B57" s="67"/>
      <c r="C57" s="53"/>
      <c r="D57" s="53"/>
      <c r="E57" s="53"/>
      <c r="F57" s="54" t="s">
        <v>13</v>
      </c>
      <c r="G57" s="55"/>
      <c r="H57" s="56">
        <f t="shared" ref="H57:I57" si="8">SUM(H55)</f>
        <v>10618.20661</v>
      </c>
      <c r="I57" s="56">
        <f t="shared" si="8"/>
        <v>6521.73</v>
      </c>
      <c r="J57" s="68">
        <f>H57-I57</f>
        <v>4096.476608</v>
      </c>
    </row>
    <row r="58" ht="14.25" customHeight="1">
      <c r="A58" s="1"/>
      <c r="B58" s="69"/>
      <c r="C58" s="24"/>
      <c r="D58" s="24"/>
      <c r="E58" s="24"/>
      <c r="F58" s="42"/>
      <c r="G58" s="24"/>
      <c r="H58" s="24"/>
      <c r="I58" s="43"/>
      <c r="J58" s="44"/>
    </row>
    <row r="59" ht="14.25" customHeight="1">
      <c r="A59" s="1"/>
      <c r="B59" s="57"/>
      <c r="C59" s="30"/>
      <c r="D59" s="48" t="s">
        <v>26</v>
      </c>
      <c r="E59" s="30"/>
      <c r="F59" s="30"/>
      <c r="G59" s="30"/>
      <c r="H59" s="30"/>
      <c r="I59" s="46"/>
      <c r="J59" s="47"/>
    </row>
    <row r="60" ht="14.25" customHeight="1">
      <c r="A60" s="1"/>
      <c r="B60" s="45"/>
      <c r="C60" s="30"/>
      <c r="D60" s="30"/>
      <c r="E60" s="30"/>
      <c r="F60" s="30"/>
      <c r="G60" s="30"/>
      <c r="H60" s="30"/>
      <c r="I60" s="46"/>
      <c r="J60" s="47"/>
    </row>
    <row r="61" ht="14.25" customHeight="1">
      <c r="A61" s="1"/>
      <c r="B61" s="28">
        <v>1.0</v>
      </c>
      <c r="C61" s="29" t="s">
        <v>10</v>
      </c>
      <c r="D61" s="33" t="s">
        <v>27</v>
      </c>
      <c r="E61" s="30"/>
      <c r="F61" s="58"/>
      <c r="G61" s="30"/>
      <c r="H61" s="31">
        <v>15858.204933479232</v>
      </c>
      <c r="I61" s="31">
        <v>8253.869999999999</v>
      </c>
      <c r="J61" s="49">
        <f>+H61-I61</f>
        <v>7604.334933</v>
      </c>
      <c r="K61" s="20"/>
    </row>
    <row r="62" ht="15.0" customHeight="1">
      <c r="A62" s="1"/>
      <c r="B62" s="72"/>
      <c r="C62" s="63"/>
      <c r="D62" s="63"/>
      <c r="E62" s="63"/>
      <c r="F62" s="63"/>
      <c r="G62" s="63"/>
      <c r="H62" s="63"/>
      <c r="I62" s="63"/>
      <c r="J62" s="70"/>
    </row>
    <row r="63" ht="15.0" customHeight="1">
      <c r="A63" s="1"/>
      <c r="B63" s="51"/>
      <c r="C63" s="52"/>
      <c r="D63" s="53"/>
      <c r="E63" s="53"/>
      <c r="F63" s="54" t="s">
        <v>13</v>
      </c>
      <c r="G63" s="55"/>
      <c r="H63" s="56">
        <f t="shared" ref="H63:I63" si="9">SUM(H61)</f>
        <v>15858.20493</v>
      </c>
      <c r="I63" s="56">
        <f t="shared" si="9"/>
        <v>8253.87</v>
      </c>
      <c r="J63" s="68">
        <f>H63-I63</f>
        <v>7604.334933</v>
      </c>
      <c r="K63" s="20"/>
    </row>
    <row r="64" ht="14.25" customHeight="1">
      <c r="A64" s="1"/>
      <c r="B64" s="69"/>
      <c r="C64" s="24"/>
      <c r="D64" s="24"/>
      <c r="E64" s="24"/>
      <c r="F64" s="24"/>
      <c r="G64" s="24"/>
      <c r="H64" s="24"/>
      <c r="I64" s="24"/>
      <c r="J64" s="74"/>
    </row>
    <row r="65" ht="15.0" customHeight="1">
      <c r="A65" s="1"/>
      <c r="B65" s="75"/>
      <c r="C65" s="76"/>
      <c r="D65" s="77"/>
      <c r="E65" s="78"/>
      <c r="F65" s="79" t="s">
        <v>28</v>
      </c>
      <c r="G65" s="78"/>
      <c r="H65" s="80">
        <f t="shared" ref="H65:I65" si="10">+H21+H28+H37+H44+H51+H57+H63</f>
        <v>125265.0658</v>
      </c>
      <c r="I65" s="80">
        <f t="shared" si="10"/>
        <v>62224.97</v>
      </c>
      <c r="J65" s="80">
        <f>SUM(J21+J28+J37+J44+J51+J57+J63)</f>
        <v>63040.09581</v>
      </c>
      <c r="K65" s="20"/>
      <c r="M65" s="27"/>
      <c r="P65" s="27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81"/>
      <c r="J66" s="1"/>
      <c r="N66" s="27"/>
    </row>
    <row r="67" ht="12.75" customHeight="1">
      <c r="B67" s="82"/>
      <c r="C67" s="83"/>
      <c r="J67" s="84"/>
      <c r="K67" s="20"/>
    </row>
    <row r="68" ht="12.75" customHeight="1">
      <c r="B68" s="85"/>
      <c r="C68" s="85"/>
      <c r="D68" s="85"/>
      <c r="E68" s="85"/>
      <c r="F68" s="85"/>
      <c r="G68" s="86"/>
      <c r="I68" s="27"/>
    </row>
    <row r="69" ht="12.75" customHeight="1">
      <c r="B69" s="82"/>
      <c r="C69" s="83"/>
      <c r="D69" s="87"/>
      <c r="E69" s="85"/>
      <c r="F69" s="85"/>
      <c r="G69" s="86"/>
      <c r="H69" s="84"/>
      <c r="I69" s="84"/>
      <c r="J69" s="84"/>
      <c r="K69" s="20"/>
    </row>
    <row r="70" ht="12.75" customHeight="1">
      <c r="B70" s="85"/>
      <c r="C70" s="85"/>
      <c r="D70" s="85"/>
      <c r="E70" s="85"/>
      <c r="F70" s="85"/>
      <c r="G70" s="86"/>
    </row>
    <row r="71" ht="12.75" customHeight="1">
      <c r="B71" s="82"/>
      <c r="C71" s="83"/>
      <c r="D71" s="87"/>
      <c r="E71" s="85"/>
      <c r="F71" s="85"/>
      <c r="G71" s="86"/>
      <c r="H71" s="84"/>
      <c r="I71" s="84"/>
      <c r="J71" s="84"/>
      <c r="K71" s="20"/>
    </row>
    <row r="72" ht="12.75" customHeight="1">
      <c r="B72" s="85"/>
      <c r="C72" s="85"/>
      <c r="D72" s="85"/>
      <c r="E72" s="85"/>
      <c r="F72" s="85"/>
      <c r="G72" s="85"/>
    </row>
    <row r="73" ht="12.75" customHeight="1">
      <c r="E73" s="88"/>
      <c r="F73" s="89"/>
      <c r="G73" s="89"/>
      <c r="H73" s="90"/>
      <c r="I73" s="90"/>
      <c r="J73" s="90"/>
    </row>
    <row r="74" ht="12.75" customHeight="1"/>
    <row r="75" ht="12.75" customHeight="1">
      <c r="B75" s="91"/>
      <c r="C75" s="86"/>
      <c r="D75" s="86"/>
    </row>
    <row r="76" ht="12.75" customHeight="1"/>
    <row r="77" ht="12.75" customHeight="1">
      <c r="B77" s="92"/>
      <c r="C77" s="20"/>
      <c r="D77" s="87"/>
      <c r="E77" s="85"/>
      <c r="G77" s="86"/>
      <c r="H77" s="84"/>
      <c r="I77" s="84"/>
      <c r="J77" s="84"/>
      <c r="K77" s="20"/>
    </row>
    <row r="78" ht="12.75" customHeight="1">
      <c r="D78" s="85"/>
      <c r="E78" s="85"/>
      <c r="G78" s="86"/>
    </row>
    <row r="79" ht="12.75" customHeight="1">
      <c r="B79" s="92"/>
      <c r="C79" s="20"/>
      <c r="D79" s="87"/>
      <c r="E79" s="85"/>
      <c r="G79" s="86"/>
      <c r="H79" s="84"/>
      <c r="I79" s="84"/>
      <c r="J79" s="84"/>
      <c r="K79" s="20"/>
    </row>
    <row r="80" ht="12.75" customHeight="1">
      <c r="D80" s="85"/>
      <c r="E80" s="85"/>
      <c r="G80" s="86"/>
    </row>
    <row r="81" ht="12.75" customHeight="1">
      <c r="B81" s="92"/>
      <c r="C81" s="20"/>
      <c r="D81" s="87"/>
      <c r="E81" s="85"/>
      <c r="G81" s="86"/>
      <c r="H81" s="84"/>
      <c r="I81" s="84"/>
      <c r="J81" s="84"/>
      <c r="K81" s="20"/>
    </row>
    <row r="82" ht="12.75" customHeight="1">
      <c r="B82" s="92"/>
      <c r="C82" s="20"/>
      <c r="D82" s="85"/>
      <c r="E82" s="85"/>
      <c r="G82" s="86"/>
      <c r="H82" s="84"/>
      <c r="I82" s="84"/>
      <c r="J82" s="84"/>
      <c r="K82" s="20"/>
    </row>
    <row r="83" ht="12.75" customHeight="1">
      <c r="B83" s="92"/>
      <c r="C83" s="20"/>
      <c r="D83" s="87"/>
      <c r="E83" s="85"/>
      <c r="G83" s="86"/>
      <c r="H83" s="84"/>
      <c r="I83" s="84"/>
      <c r="J83" s="84"/>
      <c r="K83" s="20"/>
    </row>
    <row r="84" ht="12.75" customHeight="1">
      <c r="D84" s="85"/>
      <c r="E84" s="85"/>
      <c r="G84" s="86"/>
    </row>
    <row r="85" ht="12.75" customHeight="1">
      <c r="B85" s="92"/>
      <c r="C85" s="20"/>
      <c r="D85" s="87"/>
      <c r="E85" s="85"/>
      <c r="G85" s="86"/>
      <c r="H85" s="84"/>
      <c r="I85" s="84"/>
      <c r="J85" s="84"/>
      <c r="K85" s="20"/>
    </row>
    <row r="86" ht="12.75" customHeight="1">
      <c r="D86" s="85"/>
      <c r="E86" s="85"/>
      <c r="G86" s="86"/>
    </row>
    <row r="87" ht="12.75" customHeight="1">
      <c r="B87" s="93"/>
      <c r="D87" s="87"/>
      <c r="E87" s="85"/>
      <c r="G87" s="86"/>
      <c r="H87" s="94"/>
      <c r="I87" s="94"/>
      <c r="J87" s="94"/>
    </row>
    <row r="88" ht="12.75" customHeight="1">
      <c r="D88" s="87"/>
      <c r="E88" s="85"/>
      <c r="H88" s="94"/>
      <c r="I88" s="94"/>
      <c r="J88" s="94"/>
    </row>
    <row r="89" ht="12.75" customHeight="1">
      <c r="D89" s="87"/>
      <c r="E89" s="88"/>
      <c r="F89" s="89"/>
      <c r="H89" s="94"/>
      <c r="I89" s="94"/>
      <c r="J89" s="94"/>
    </row>
    <row r="90" ht="12.75" customHeight="1">
      <c r="D90" s="87"/>
      <c r="E90" s="85"/>
      <c r="H90" s="94"/>
      <c r="I90" s="94"/>
      <c r="J90" s="94"/>
    </row>
    <row r="91" ht="12.75" customHeight="1">
      <c r="D91" s="87"/>
      <c r="E91" s="85"/>
      <c r="H91" s="94"/>
      <c r="I91" s="94"/>
      <c r="J91" s="94"/>
    </row>
    <row r="92" ht="12.75" customHeight="1"/>
    <row r="93" ht="12.75" customHeight="1">
      <c r="B93" s="95"/>
      <c r="C93" s="85"/>
      <c r="D93" s="85"/>
      <c r="E93" s="85"/>
      <c r="F93" s="85"/>
    </row>
    <row r="94" ht="12.75" customHeight="1"/>
    <row r="95" ht="12.75" customHeight="1">
      <c r="B95" s="92"/>
      <c r="C95" s="20"/>
      <c r="D95" s="87"/>
      <c r="E95" s="85"/>
      <c r="F95" s="85"/>
      <c r="G95" s="86"/>
      <c r="H95" s="84"/>
      <c r="I95" s="84"/>
      <c r="J95" s="84"/>
      <c r="K95" s="20"/>
    </row>
    <row r="96" ht="12.75" customHeight="1">
      <c r="B96" s="92"/>
      <c r="C96" s="20"/>
      <c r="D96" s="87"/>
      <c r="E96" s="85"/>
      <c r="F96" s="85"/>
      <c r="G96" s="86"/>
      <c r="H96" s="84"/>
      <c r="I96" s="84"/>
      <c r="J96" s="84"/>
      <c r="K96" s="20"/>
    </row>
    <row r="97" ht="12.75" customHeight="1">
      <c r="B97" s="92"/>
      <c r="C97" s="20"/>
      <c r="D97" s="87"/>
      <c r="E97" s="85"/>
      <c r="F97" s="85"/>
      <c r="G97" s="86"/>
      <c r="H97" s="84"/>
      <c r="I97" s="84"/>
      <c r="J97" s="84"/>
      <c r="K97" s="20"/>
    </row>
    <row r="98" ht="12.75" customHeight="1"/>
    <row r="99" ht="12.75" customHeight="1">
      <c r="E99" s="96"/>
      <c r="H99" s="94"/>
      <c r="I99" s="94"/>
      <c r="J99" s="94"/>
    </row>
    <row r="100" ht="12.75" customHeight="1"/>
    <row r="101" ht="12.75" customHeight="1">
      <c r="E101" s="96"/>
      <c r="H101" s="94"/>
      <c r="I101" s="94"/>
      <c r="J101" s="94"/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>
      <c r="B108" s="97"/>
    </row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.0"/>
    <col customWidth="1" min="3" max="3" width="1.71"/>
    <col customWidth="1" min="4" max="4" width="11.43"/>
    <col customWidth="1" hidden="1" min="5" max="5" width="11.43"/>
    <col customWidth="1" min="6" max="6" width="28.0"/>
    <col customWidth="1" min="7" max="7" width="16.29"/>
    <col customWidth="1" min="8" max="8" width="14.57"/>
    <col customWidth="1" min="9" max="9" width="15.14"/>
    <col customWidth="1" min="10" max="10" width="14.29"/>
    <col customWidth="1" min="11" max="14" width="11.43"/>
    <col customWidth="1" min="15" max="26" width="8.0"/>
  </cols>
  <sheetData>
    <row r="1" ht="12.75" customHeight="1"/>
    <row r="2" ht="12.75" customHeight="1"/>
    <row r="3" ht="12.75" customHeight="1"/>
    <row r="4" ht="12.75" customHeight="1"/>
    <row r="5" ht="15.75" customHeight="1">
      <c r="B5" s="98"/>
      <c r="C5" s="98"/>
      <c r="D5" s="2" t="s">
        <v>0</v>
      </c>
      <c r="E5" s="2"/>
      <c r="F5" s="2"/>
      <c r="G5" s="1"/>
      <c r="H5" s="98"/>
      <c r="I5" s="98"/>
      <c r="J5" s="98"/>
    </row>
    <row r="6" ht="15.75" customHeight="1">
      <c r="B6" s="98"/>
      <c r="C6" s="98"/>
      <c r="D6" s="2" t="s">
        <v>29</v>
      </c>
      <c r="E6" s="2"/>
      <c r="F6" s="99" t="s">
        <v>30</v>
      </c>
      <c r="G6" s="1"/>
      <c r="H6" s="98"/>
      <c r="I6" s="98"/>
      <c r="J6" s="98"/>
    </row>
    <row r="7" ht="15.75" customHeight="1">
      <c r="B7" s="98"/>
      <c r="C7" s="98"/>
      <c r="D7" s="3" t="str">
        <f>+'SUP '!D7</f>
        <v>Payroll Period:  Nov. 24 to Dec. 08, 2025</v>
      </c>
      <c r="E7" s="2"/>
      <c r="F7" s="2"/>
      <c r="G7" s="1"/>
      <c r="H7" s="98"/>
      <c r="I7" s="98"/>
      <c r="J7" s="98"/>
    </row>
    <row r="8" ht="15.75" customHeight="1">
      <c r="B8" s="98"/>
      <c r="C8" s="98"/>
      <c r="D8" s="100"/>
      <c r="E8" s="98"/>
      <c r="F8" s="98"/>
      <c r="G8" s="98"/>
      <c r="H8" s="98"/>
      <c r="I8" s="98"/>
      <c r="J8" s="98"/>
    </row>
    <row r="9" ht="15.0" customHeight="1">
      <c r="B9" s="1"/>
      <c r="C9" s="4" t="s">
        <v>3</v>
      </c>
      <c r="D9" s="1"/>
      <c r="E9" s="1"/>
      <c r="F9" s="1"/>
      <c r="G9" s="1"/>
      <c r="H9" s="1"/>
      <c r="I9" s="1"/>
      <c r="J9" s="1"/>
    </row>
    <row r="10" ht="14.25" customHeight="1">
      <c r="B10" s="5"/>
      <c r="C10" s="6"/>
      <c r="D10" s="6"/>
      <c r="E10" s="6"/>
      <c r="F10" s="6"/>
      <c r="G10" s="6"/>
      <c r="H10" s="7" t="s">
        <v>4</v>
      </c>
      <c r="I10" s="7" t="s">
        <v>5</v>
      </c>
      <c r="J10" s="8" t="s">
        <v>6</v>
      </c>
    </row>
    <row r="11" ht="15.0" customHeight="1">
      <c r="B11" s="9"/>
      <c r="C11" s="1"/>
      <c r="D11" s="1"/>
      <c r="E11" s="1"/>
      <c r="F11" s="1"/>
      <c r="G11" s="1"/>
      <c r="H11" s="10" t="s">
        <v>7</v>
      </c>
      <c r="I11" s="10" t="s">
        <v>8</v>
      </c>
      <c r="J11" s="11" t="s">
        <v>7</v>
      </c>
    </row>
    <row r="12" ht="15.75" customHeight="1">
      <c r="B12" s="101"/>
      <c r="C12" s="102"/>
      <c r="D12" s="15" t="s">
        <v>9</v>
      </c>
      <c r="E12" s="6"/>
      <c r="F12" s="6"/>
      <c r="G12" s="102"/>
      <c r="H12" s="103"/>
      <c r="I12" s="103"/>
      <c r="J12" s="104"/>
    </row>
    <row r="13" ht="15.75" customHeight="1">
      <c r="B13" s="105"/>
      <c r="C13" s="106"/>
      <c r="D13" s="106"/>
      <c r="E13" s="106"/>
      <c r="F13" s="106"/>
      <c r="G13" s="106"/>
      <c r="H13" s="106"/>
      <c r="I13" s="106"/>
      <c r="J13" s="107"/>
    </row>
    <row r="14" ht="15.75" customHeight="1">
      <c r="B14" s="108">
        <v>1.0</v>
      </c>
      <c r="C14" s="109" t="s">
        <v>10</v>
      </c>
      <c r="D14" s="110" t="s">
        <v>31</v>
      </c>
      <c r="E14" s="111"/>
      <c r="F14" s="112"/>
      <c r="G14" s="111" t="s">
        <v>32</v>
      </c>
      <c r="H14" s="113">
        <v>8634.207241466453</v>
      </c>
      <c r="I14" s="113">
        <v>625.0</v>
      </c>
      <c r="J14" s="114">
        <f>H14-I14</f>
        <v>8009.207241</v>
      </c>
      <c r="K14" s="92"/>
      <c r="L14" s="115"/>
      <c r="M14" s="27"/>
    </row>
    <row r="15" ht="15.75" customHeight="1">
      <c r="B15" s="108"/>
      <c r="C15" s="109"/>
      <c r="D15" s="116"/>
      <c r="E15" s="111"/>
      <c r="F15" s="112"/>
      <c r="G15" s="111"/>
      <c r="H15" s="113"/>
      <c r="I15" s="113">
        <v>0.0</v>
      </c>
      <c r="J15" s="114"/>
      <c r="K15" s="92"/>
      <c r="L15" s="115"/>
      <c r="M15" s="27"/>
    </row>
    <row r="16" ht="15.75" customHeight="1">
      <c r="B16" s="108">
        <v>2.0</v>
      </c>
      <c r="C16" s="109" t="s">
        <v>10</v>
      </c>
      <c r="D16" s="110" t="s">
        <v>33</v>
      </c>
      <c r="E16" s="111"/>
      <c r="F16" s="112"/>
      <c r="G16" s="111" t="s">
        <v>34</v>
      </c>
      <c r="H16" s="117">
        <v>8058.2074254920135</v>
      </c>
      <c r="I16" s="117">
        <v>2810.08</v>
      </c>
      <c r="J16" s="114">
        <f>H16-I16</f>
        <v>5248.127425</v>
      </c>
      <c r="L16" s="115"/>
      <c r="M16" s="27"/>
    </row>
    <row r="17" ht="15.75" customHeight="1">
      <c r="B17" s="108"/>
      <c r="C17" s="109"/>
      <c r="D17" s="116"/>
      <c r="E17" s="111"/>
      <c r="F17" s="112"/>
      <c r="G17" s="111"/>
      <c r="H17" s="113"/>
      <c r="I17" s="113">
        <v>0.0</v>
      </c>
      <c r="J17" s="114"/>
      <c r="K17" s="92"/>
      <c r="L17" s="115"/>
      <c r="M17" s="27"/>
    </row>
    <row r="18" ht="15.75" customHeight="1">
      <c r="B18" s="108">
        <v>3.0</v>
      </c>
      <c r="C18" s="109" t="s">
        <v>10</v>
      </c>
      <c r="D18" s="110" t="s">
        <v>15</v>
      </c>
      <c r="E18" s="111"/>
      <c r="F18" s="112"/>
      <c r="G18" s="111" t="s">
        <v>35</v>
      </c>
      <c r="H18" s="117">
        <v>8249.997364217252</v>
      </c>
      <c r="I18" s="117">
        <v>5214.46</v>
      </c>
      <c r="J18" s="114">
        <f>H18-I18</f>
        <v>3035.537364</v>
      </c>
      <c r="L18" s="115"/>
      <c r="M18" s="27"/>
    </row>
    <row r="19" ht="15.75" customHeight="1">
      <c r="B19" s="108"/>
      <c r="C19" s="109"/>
      <c r="D19" s="116"/>
      <c r="E19" s="111"/>
      <c r="F19" s="112"/>
      <c r="G19" s="111"/>
      <c r="H19" s="117"/>
      <c r="I19" s="117">
        <v>0.0</v>
      </c>
      <c r="J19" s="114"/>
      <c r="L19" s="115"/>
      <c r="M19" s="27"/>
    </row>
    <row r="20" ht="15.75" customHeight="1">
      <c r="B20" s="108">
        <v>4.0</v>
      </c>
      <c r="C20" s="109" t="s">
        <v>10</v>
      </c>
      <c r="D20" s="110" t="s">
        <v>36</v>
      </c>
      <c r="E20" s="111"/>
      <c r="F20" s="112"/>
      <c r="G20" s="111" t="s">
        <v>37</v>
      </c>
      <c r="H20" s="117">
        <v>7900.164923894568</v>
      </c>
      <c r="I20" s="117">
        <v>4875.0</v>
      </c>
      <c r="J20" s="114">
        <f>H20-I20</f>
        <v>3025.164924</v>
      </c>
      <c r="L20" s="115"/>
      <c r="M20" s="27"/>
    </row>
    <row r="21" ht="15.75" customHeight="1">
      <c r="B21" s="118"/>
      <c r="C21" s="109"/>
      <c r="D21" s="116"/>
      <c r="E21" s="111"/>
      <c r="F21" s="112"/>
      <c r="G21" s="111"/>
      <c r="H21" s="117"/>
      <c r="I21" s="117">
        <v>0.0</v>
      </c>
      <c r="J21" s="114"/>
      <c r="L21" s="115"/>
      <c r="M21" s="27"/>
    </row>
    <row r="22" ht="15.75" customHeight="1">
      <c r="B22" s="108">
        <v>5.0</v>
      </c>
      <c r="C22" s="109" t="s">
        <v>10</v>
      </c>
      <c r="D22" s="110" t="s">
        <v>38</v>
      </c>
      <c r="E22" s="111"/>
      <c r="F22" s="112"/>
      <c r="G22" s="111" t="s">
        <v>39</v>
      </c>
      <c r="H22" s="113">
        <v>8058.2074254920135</v>
      </c>
      <c r="I22" s="113">
        <v>6413.69</v>
      </c>
      <c r="J22" s="114">
        <f>H22-I22</f>
        <v>1644.517425</v>
      </c>
      <c r="K22" s="92"/>
      <c r="L22" s="115"/>
      <c r="M22" s="27"/>
    </row>
    <row r="23" ht="15.75" customHeight="1">
      <c r="B23" s="118"/>
      <c r="C23" s="119"/>
      <c r="D23" s="120"/>
      <c r="E23" s="121"/>
      <c r="F23" s="122"/>
      <c r="G23" s="122"/>
      <c r="H23" s="123"/>
      <c r="I23" s="123"/>
      <c r="J23" s="124"/>
      <c r="K23" s="92"/>
      <c r="L23" s="20"/>
    </row>
    <row r="24" ht="15.75" customHeight="1">
      <c r="B24" s="108">
        <v>6.0</v>
      </c>
      <c r="C24" s="109" t="s">
        <v>10</v>
      </c>
      <c r="D24" s="110" t="s">
        <v>40</v>
      </c>
      <c r="E24" s="111"/>
      <c r="F24" s="112"/>
      <c r="G24" s="111"/>
      <c r="H24" s="113">
        <v>7339.660537206069</v>
      </c>
      <c r="I24" s="113">
        <v>2051.75</v>
      </c>
      <c r="J24" s="114">
        <f>H24-I24</f>
        <v>5287.910537</v>
      </c>
      <c r="K24" s="92"/>
      <c r="L24" s="115"/>
      <c r="M24" s="27"/>
    </row>
    <row r="25" ht="16.5" customHeight="1">
      <c r="B25" s="125"/>
      <c r="C25" s="119"/>
      <c r="D25" s="120"/>
      <c r="E25" s="121"/>
      <c r="F25" s="122"/>
      <c r="G25" s="122"/>
      <c r="H25" s="123"/>
      <c r="I25" s="123"/>
      <c r="J25" s="124"/>
      <c r="K25" s="92"/>
      <c r="L25" s="20"/>
    </row>
    <row r="26" ht="16.5" customHeight="1">
      <c r="B26" s="126"/>
      <c r="C26" s="127"/>
      <c r="D26" s="39" t="s">
        <v>13</v>
      </c>
      <c r="E26" s="40"/>
      <c r="F26" s="128"/>
      <c r="G26" s="128"/>
      <c r="H26" s="129">
        <f t="shared" ref="H26:I26" si="1">SUM(H14:H24)</f>
        <v>48240.44492</v>
      </c>
      <c r="I26" s="130">
        <f t="shared" si="1"/>
        <v>21989.98</v>
      </c>
      <c r="J26" s="131">
        <f>H26-I26</f>
        <v>26250.46492</v>
      </c>
      <c r="K26" s="92"/>
      <c r="L26" s="20"/>
    </row>
    <row r="27" ht="15.75" customHeight="1">
      <c r="B27" s="132"/>
      <c r="C27" s="133"/>
      <c r="D27" s="134"/>
      <c r="E27" s="135"/>
      <c r="F27" s="98"/>
      <c r="G27" s="98"/>
      <c r="H27" s="136"/>
      <c r="I27" s="136"/>
      <c r="J27" s="137"/>
      <c r="K27" s="92"/>
      <c r="L27" s="20"/>
    </row>
    <row r="28" ht="15.75" customHeight="1">
      <c r="B28" s="132"/>
      <c r="C28" s="133"/>
      <c r="D28" s="134"/>
      <c r="E28" s="135"/>
      <c r="F28" s="98"/>
      <c r="G28" s="98"/>
      <c r="H28" s="136"/>
      <c r="I28" s="136"/>
      <c r="J28" s="137"/>
      <c r="K28" s="92"/>
      <c r="L28" s="20"/>
    </row>
    <row r="29" ht="16.5" customHeight="1">
      <c r="B29" s="132"/>
      <c r="C29" s="138"/>
      <c r="D29" s="139"/>
      <c r="E29" s="140"/>
      <c r="F29" s="141"/>
      <c r="G29" s="135"/>
      <c r="H29" s="142"/>
      <c r="I29" s="143"/>
      <c r="J29" s="143"/>
      <c r="K29" s="92"/>
      <c r="L29" s="20"/>
    </row>
    <row r="30" ht="15.75" customHeight="1">
      <c r="B30" s="144"/>
      <c r="C30" s="145" t="s">
        <v>14</v>
      </c>
      <c r="D30" s="24"/>
      <c r="E30" s="24"/>
      <c r="F30" s="24"/>
      <c r="G30" s="146"/>
      <c r="H30" s="147"/>
      <c r="I30" s="148"/>
      <c r="J30" s="149"/>
      <c r="K30" s="92"/>
      <c r="L30" s="20"/>
    </row>
    <row r="31" ht="15.75" customHeight="1">
      <c r="B31" s="150"/>
      <c r="C31" s="111"/>
      <c r="D31" s="111"/>
      <c r="E31" s="111"/>
      <c r="F31" s="112"/>
      <c r="G31" s="111"/>
      <c r="H31" s="151"/>
      <c r="I31" s="152"/>
      <c r="J31" s="153"/>
      <c r="K31" s="92"/>
      <c r="L31" s="20"/>
    </row>
    <row r="32" ht="15.75" customHeight="1">
      <c r="B32" s="154">
        <v>1.0</v>
      </c>
      <c r="C32" s="155" t="s">
        <v>10</v>
      </c>
      <c r="D32" s="110" t="s">
        <v>41</v>
      </c>
      <c r="E32" s="111"/>
      <c r="F32" s="112"/>
      <c r="G32" s="111" t="s">
        <v>42</v>
      </c>
      <c r="H32" s="156">
        <v>9251.194621658147</v>
      </c>
      <c r="I32" s="157">
        <v>4437.44</v>
      </c>
      <c r="J32" s="158">
        <f>H32-I32</f>
        <v>4813.754622</v>
      </c>
      <c r="K32" s="92"/>
      <c r="L32" s="115"/>
      <c r="M32" s="27"/>
    </row>
    <row r="33" ht="15.75" customHeight="1">
      <c r="B33" s="154"/>
      <c r="C33" s="155"/>
      <c r="D33" s="116"/>
      <c r="E33" s="111"/>
      <c r="F33" s="112"/>
      <c r="G33" s="111"/>
      <c r="H33" s="159"/>
      <c r="I33" s="157"/>
      <c r="J33" s="158"/>
      <c r="K33" s="92"/>
      <c r="L33" s="115"/>
      <c r="M33" s="27"/>
    </row>
    <row r="34" ht="15.75" customHeight="1">
      <c r="B34" s="154">
        <v>2.0</v>
      </c>
      <c r="C34" s="155" t="s">
        <v>10</v>
      </c>
      <c r="D34" s="110" t="s">
        <v>43</v>
      </c>
      <c r="E34" s="111"/>
      <c r="F34" s="112"/>
      <c r="G34" s="111" t="s">
        <v>44</v>
      </c>
      <c r="H34" s="160">
        <v>7546.207589070287</v>
      </c>
      <c r="I34" s="157">
        <v>2082.9</v>
      </c>
      <c r="J34" s="158">
        <f>H34-I34</f>
        <v>5463.307589</v>
      </c>
      <c r="K34" s="92"/>
      <c r="L34" s="115"/>
      <c r="M34" s="27"/>
    </row>
    <row r="35" ht="15.75" customHeight="1">
      <c r="B35" s="150"/>
      <c r="C35" s="111"/>
      <c r="D35" s="116"/>
      <c r="E35" s="111"/>
      <c r="F35" s="112"/>
      <c r="G35" s="111"/>
      <c r="H35" s="159"/>
      <c r="I35" s="157"/>
      <c r="J35" s="158"/>
      <c r="K35" s="92"/>
      <c r="L35" s="115"/>
      <c r="M35" s="27"/>
    </row>
    <row r="36" ht="15.75" customHeight="1">
      <c r="B36" s="154">
        <v>3.0</v>
      </c>
      <c r="C36" s="155" t="s">
        <v>10</v>
      </c>
      <c r="D36" s="110" t="s">
        <v>45</v>
      </c>
      <c r="E36" s="111"/>
      <c r="F36" s="112"/>
      <c r="G36" s="111" t="s">
        <v>46</v>
      </c>
      <c r="H36" s="160">
        <v>9132.370957760384</v>
      </c>
      <c r="I36" s="157">
        <v>4373.86</v>
      </c>
      <c r="J36" s="158">
        <f>H36-I36</f>
        <v>4758.510958</v>
      </c>
      <c r="K36" s="92"/>
      <c r="L36" s="115"/>
      <c r="M36" s="27"/>
    </row>
    <row r="37" ht="16.5" customHeight="1">
      <c r="B37" s="161"/>
      <c r="C37" s="162"/>
      <c r="D37" s="163"/>
      <c r="E37" s="164"/>
      <c r="F37" s="165"/>
      <c r="G37" s="165"/>
      <c r="H37" s="165"/>
      <c r="I37" s="166"/>
      <c r="J37" s="167"/>
    </row>
    <row r="38" ht="16.5" customHeight="1">
      <c r="B38" s="168"/>
      <c r="C38" s="169"/>
      <c r="D38" s="39" t="s">
        <v>13</v>
      </c>
      <c r="E38" s="40"/>
      <c r="F38" s="170"/>
      <c r="G38" s="170"/>
      <c r="H38" s="171">
        <f t="shared" ref="H38:I38" si="2">SUM(H32:H37)</f>
        <v>25929.77317</v>
      </c>
      <c r="I38" s="172">
        <f t="shared" si="2"/>
        <v>10894.2</v>
      </c>
      <c r="J38" s="173">
        <f>H38-I38</f>
        <v>15035.57317</v>
      </c>
    </row>
    <row r="39" ht="15.75" customHeight="1">
      <c r="A39" s="174"/>
      <c r="B39" s="175"/>
      <c r="C39" s="176"/>
      <c r="D39" s="177"/>
      <c r="E39" s="178"/>
      <c r="F39" s="179"/>
      <c r="G39" s="179"/>
      <c r="H39" s="180"/>
      <c r="I39" s="180"/>
      <c r="J39" s="181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 ht="15.75" customHeight="1">
      <c r="A40" s="174"/>
      <c r="B40" s="175"/>
      <c r="C40" s="176"/>
      <c r="D40" s="177"/>
      <c r="E40" s="178"/>
      <c r="F40" s="179"/>
      <c r="G40" s="179"/>
      <c r="H40" s="180"/>
      <c r="I40" s="180"/>
      <c r="J40" s="181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 ht="16.5" customHeight="1">
      <c r="B41" s="98"/>
      <c r="C41" s="141"/>
      <c r="D41" s="141"/>
      <c r="E41" s="98"/>
      <c r="F41" s="98"/>
      <c r="G41" s="98"/>
      <c r="H41" s="182"/>
      <c r="I41" s="183"/>
      <c r="J41" s="183"/>
    </row>
    <row r="42" ht="15.75" customHeight="1">
      <c r="B42" s="184"/>
      <c r="C42" s="145" t="s">
        <v>20</v>
      </c>
      <c r="D42" s="24"/>
      <c r="E42" s="30"/>
      <c r="F42" s="103"/>
      <c r="G42" s="103"/>
      <c r="H42" s="102"/>
      <c r="I42" s="185"/>
      <c r="J42" s="186"/>
    </row>
    <row r="43" ht="15.75" customHeight="1">
      <c r="B43" s="187"/>
      <c r="C43" s="135"/>
      <c r="D43" s="135"/>
      <c r="E43" s="135"/>
      <c r="F43" s="135"/>
      <c r="G43" s="135"/>
      <c r="H43" s="98"/>
      <c r="I43" s="188"/>
      <c r="J43" s="189"/>
    </row>
    <row r="44" ht="15.75" customHeight="1">
      <c r="B44" s="190">
        <v>1.0</v>
      </c>
      <c r="C44" s="191" t="s">
        <v>10</v>
      </c>
      <c r="D44" s="110" t="s">
        <v>47</v>
      </c>
      <c r="E44" s="192"/>
      <c r="F44" s="192"/>
      <c r="G44" s="111" t="s">
        <v>48</v>
      </c>
      <c r="H44" s="193">
        <v>7998.132754461661</v>
      </c>
      <c r="I44" s="193">
        <v>4234.05</v>
      </c>
      <c r="J44" s="194">
        <f>H44-I44</f>
        <v>3764.082754</v>
      </c>
      <c r="K44" s="92"/>
      <c r="L44" s="115"/>
      <c r="M44" s="27"/>
    </row>
    <row r="45" ht="15.75" customHeight="1">
      <c r="B45" s="150"/>
      <c r="C45" s="111"/>
      <c r="D45" s="111"/>
      <c r="E45" s="111"/>
      <c r="F45" s="111"/>
      <c r="G45" s="111"/>
      <c r="H45" s="195"/>
      <c r="I45" s="195"/>
      <c r="J45" s="158"/>
      <c r="L45" s="115"/>
      <c r="M45" s="27"/>
    </row>
    <row r="46" ht="15.75" customHeight="1">
      <c r="B46" s="154">
        <v>2.0</v>
      </c>
      <c r="C46" s="191" t="s">
        <v>10</v>
      </c>
      <c r="D46" s="196" t="s">
        <v>49</v>
      </c>
      <c r="E46" s="192"/>
      <c r="F46" s="192"/>
      <c r="G46" s="192" t="s">
        <v>50</v>
      </c>
      <c r="H46" s="193">
        <v>8486.47228555591</v>
      </c>
      <c r="I46" s="193">
        <v>1125.0</v>
      </c>
      <c r="J46" s="194">
        <f>H46-I46</f>
        <v>7361.472286</v>
      </c>
      <c r="K46" s="92"/>
      <c r="L46" s="115"/>
      <c r="M46" s="27"/>
    </row>
    <row r="47" ht="15.75" customHeight="1">
      <c r="B47" s="150"/>
      <c r="C47" s="111"/>
      <c r="D47" s="111"/>
      <c r="E47" s="111"/>
      <c r="F47" s="111"/>
      <c r="G47" s="111"/>
      <c r="H47" s="195"/>
      <c r="I47" s="195"/>
      <c r="J47" s="158"/>
      <c r="L47" s="115"/>
      <c r="M47" s="27"/>
    </row>
    <row r="48" ht="15.75" customHeight="1">
      <c r="B48" s="154">
        <v>3.0</v>
      </c>
      <c r="C48" s="109" t="s">
        <v>10</v>
      </c>
      <c r="D48" s="110" t="s">
        <v>51</v>
      </c>
      <c r="E48" s="111"/>
      <c r="F48" s="112"/>
      <c r="G48" s="111" t="s">
        <v>52</v>
      </c>
      <c r="H48" s="117">
        <v>9201.507716865814</v>
      </c>
      <c r="I48" s="117">
        <v>4575.0</v>
      </c>
      <c r="J48" s="114">
        <f>H48-I48</f>
        <v>4626.507717</v>
      </c>
      <c r="L48" s="115"/>
      <c r="M48" s="27"/>
    </row>
    <row r="49" ht="15.75" customHeight="1">
      <c r="B49" s="150"/>
      <c r="C49" s="109"/>
      <c r="D49" s="116"/>
      <c r="E49" s="111"/>
      <c r="F49" s="112"/>
      <c r="G49" s="111"/>
      <c r="H49" s="117"/>
      <c r="I49" s="117"/>
      <c r="J49" s="114"/>
      <c r="L49" s="115"/>
      <c r="M49" s="27"/>
    </row>
    <row r="50" ht="15.75" customHeight="1">
      <c r="B50" s="154">
        <v>4.0</v>
      </c>
      <c r="C50" s="155" t="s">
        <v>10</v>
      </c>
      <c r="D50" s="110" t="s">
        <v>53</v>
      </c>
      <c r="E50" s="111"/>
      <c r="F50" s="111"/>
      <c r="G50" s="111" t="s">
        <v>54</v>
      </c>
      <c r="H50" s="157">
        <v>8396.064394182109</v>
      </c>
      <c r="I50" s="157">
        <v>3910.0</v>
      </c>
      <c r="J50" s="158">
        <f>H50-I50</f>
        <v>4486.064394</v>
      </c>
      <c r="K50" s="92"/>
      <c r="L50" s="115"/>
      <c r="M50" s="27"/>
    </row>
    <row r="51" ht="15.75" customHeight="1">
      <c r="B51" s="150"/>
      <c r="C51" s="111"/>
      <c r="D51" s="111"/>
      <c r="E51" s="111"/>
      <c r="F51" s="111"/>
      <c r="G51" s="111"/>
      <c r="H51" s="195"/>
      <c r="I51" s="195"/>
      <c r="J51" s="158"/>
      <c r="L51" s="115"/>
      <c r="M51" s="27"/>
    </row>
    <row r="52" ht="15.75" customHeight="1">
      <c r="B52" s="154">
        <v>5.0</v>
      </c>
      <c r="C52" s="155" t="s">
        <v>10</v>
      </c>
      <c r="D52" s="110" t="s">
        <v>55</v>
      </c>
      <c r="E52" s="111"/>
      <c r="F52" s="111"/>
      <c r="G52" s="111" t="s">
        <v>56</v>
      </c>
      <c r="H52" s="157">
        <v>8775.562437632587</v>
      </c>
      <c r="I52" s="157">
        <v>5253.73</v>
      </c>
      <c r="J52" s="158">
        <f>H52-I52</f>
        <v>3521.832438</v>
      </c>
      <c r="K52" s="92"/>
      <c r="L52" s="115"/>
      <c r="M52" s="27"/>
    </row>
    <row r="53" ht="15.75" customHeight="1">
      <c r="B53" s="150"/>
      <c r="C53" s="111"/>
      <c r="D53" s="111"/>
      <c r="E53" s="111"/>
      <c r="F53" s="111"/>
      <c r="G53" s="111"/>
      <c r="H53" s="159"/>
      <c r="I53" s="195"/>
      <c r="J53" s="158"/>
      <c r="L53" s="115"/>
      <c r="M53" s="27"/>
    </row>
    <row r="54" ht="15.75" customHeight="1">
      <c r="B54" s="154">
        <v>6.0</v>
      </c>
      <c r="C54" s="155" t="s">
        <v>10</v>
      </c>
      <c r="D54" s="110" t="s">
        <v>57</v>
      </c>
      <c r="E54" s="111"/>
      <c r="F54" s="111"/>
      <c r="G54" s="111" t="s">
        <v>58</v>
      </c>
      <c r="H54" s="160">
        <v>8486.522285555911</v>
      </c>
      <c r="I54" s="157">
        <v>4485.0</v>
      </c>
      <c r="J54" s="158">
        <f>H54-I54</f>
        <v>4001.522286</v>
      </c>
      <c r="K54" s="92"/>
      <c r="L54" s="115"/>
      <c r="M54" s="27"/>
    </row>
    <row r="55" ht="15.75" customHeight="1">
      <c r="B55" s="150"/>
      <c r="C55" s="111"/>
      <c r="D55" s="111"/>
      <c r="E55" s="111"/>
      <c r="F55" s="111"/>
      <c r="G55" s="111"/>
      <c r="H55" s="159"/>
      <c r="I55" s="195"/>
      <c r="J55" s="158"/>
      <c r="L55" s="115"/>
      <c r="M55" s="27"/>
    </row>
    <row r="56" ht="15.75" customHeight="1">
      <c r="B56" s="154">
        <v>7.0</v>
      </c>
      <c r="C56" s="155" t="s">
        <v>10</v>
      </c>
      <c r="D56" s="110" t="s">
        <v>59</v>
      </c>
      <c r="E56" s="111"/>
      <c r="F56" s="111"/>
      <c r="G56" s="111" t="s">
        <v>60</v>
      </c>
      <c r="H56" s="117">
        <v>8271.44612325559</v>
      </c>
      <c r="I56" s="157">
        <v>3760.0</v>
      </c>
      <c r="J56" s="158">
        <f>H56-I56</f>
        <v>4511.446123</v>
      </c>
      <c r="K56" s="92"/>
      <c r="L56" s="115"/>
      <c r="M56" s="27"/>
    </row>
    <row r="57" ht="15.75" customHeight="1">
      <c r="B57" s="150"/>
      <c r="C57" s="111"/>
      <c r="D57" s="111"/>
      <c r="E57" s="111"/>
      <c r="F57" s="111"/>
      <c r="G57" s="111"/>
      <c r="H57" s="112"/>
      <c r="I57" s="197"/>
      <c r="J57" s="198"/>
    </row>
    <row r="58" ht="16.5" customHeight="1">
      <c r="B58" s="199"/>
      <c r="C58" s="200"/>
      <c r="D58" s="201" t="s">
        <v>13</v>
      </c>
      <c r="E58" s="40"/>
      <c r="F58" s="202"/>
      <c r="G58" s="202"/>
      <c r="H58" s="203">
        <f t="shared" ref="H58:I58" si="3">SUM(H44:H57)</f>
        <v>59615.708</v>
      </c>
      <c r="I58" s="203">
        <f t="shared" si="3"/>
        <v>27342.78</v>
      </c>
      <c r="J58" s="204">
        <f>H58-I58</f>
        <v>32272.928</v>
      </c>
    </row>
    <row r="59" ht="15.75" customHeight="1">
      <c r="B59" s="98"/>
      <c r="C59" s="98"/>
      <c r="D59" s="205"/>
      <c r="E59" s="206"/>
      <c r="F59" s="207"/>
      <c r="G59" s="207"/>
      <c r="H59" s="208"/>
      <c r="I59" s="208"/>
      <c r="J59" s="208"/>
    </row>
    <row r="60" ht="15.75" customHeight="1">
      <c r="B60" s="98"/>
      <c r="C60" s="98"/>
      <c r="D60" s="205"/>
      <c r="E60" s="206"/>
      <c r="F60" s="207"/>
      <c r="G60" s="207"/>
      <c r="H60" s="208"/>
      <c r="I60" s="208"/>
      <c r="J60" s="208"/>
    </row>
    <row r="61" ht="16.5" customHeight="1">
      <c r="B61" s="98"/>
      <c r="C61" s="98"/>
      <c r="D61" s="205"/>
      <c r="E61" s="206"/>
      <c r="F61" s="207"/>
      <c r="G61" s="207"/>
      <c r="H61" s="208"/>
      <c r="I61" s="208"/>
      <c r="J61" s="208"/>
    </row>
    <row r="62" ht="15.75" hidden="1" customHeight="1">
      <c r="B62" s="98"/>
      <c r="C62" s="98"/>
      <c r="D62" s="205"/>
      <c r="E62" s="206"/>
      <c r="F62" s="207"/>
      <c r="G62" s="207"/>
      <c r="H62" s="208"/>
      <c r="I62" s="208"/>
      <c r="J62" s="208"/>
    </row>
    <row r="63" ht="15.75" hidden="1" customHeight="1">
      <c r="B63" s="98"/>
      <c r="C63" s="98"/>
      <c r="D63" s="205"/>
      <c r="E63" s="206"/>
      <c r="F63" s="207"/>
      <c r="G63" s="207"/>
      <c r="H63" s="208"/>
      <c r="I63" s="208"/>
      <c r="J63" s="208"/>
    </row>
    <row r="64" ht="15.75" hidden="1" customHeight="1">
      <c r="B64" s="98"/>
      <c r="C64" s="98"/>
      <c r="D64" s="205"/>
      <c r="E64" s="206"/>
      <c r="F64" s="207"/>
      <c r="G64" s="207"/>
      <c r="H64" s="208"/>
      <c r="I64" s="208"/>
      <c r="J64" s="208"/>
    </row>
    <row r="65" ht="15.75" hidden="1" customHeight="1">
      <c r="B65" s="98"/>
      <c r="C65" s="98"/>
      <c r="D65" s="205"/>
      <c r="E65" s="206"/>
      <c r="F65" s="207"/>
      <c r="G65" s="207"/>
      <c r="H65" s="208"/>
      <c r="I65" s="208"/>
      <c r="J65" s="208"/>
    </row>
    <row r="66" ht="15.75" hidden="1" customHeight="1">
      <c r="B66" s="98"/>
      <c r="C66" s="98"/>
      <c r="D66" s="205"/>
      <c r="E66" s="206"/>
      <c r="F66" s="207"/>
      <c r="G66" s="207"/>
      <c r="H66" s="208"/>
      <c r="I66" s="208"/>
      <c r="J66" s="208"/>
    </row>
    <row r="67" ht="15.75" hidden="1" customHeight="1">
      <c r="B67" s="98"/>
      <c r="C67" s="98"/>
      <c r="D67" s="205"/>
      <c r="E67" s="206"/>
      <c r="F67" s="207"/>
      <c r="G67" s="207"/>
      <c r="H67" s="208"/>
      <c r="I67" s="208"/>
      <c r="J67" s="208"/>
    </row>
    <row r="68" ht="15.75" hidden="1" customHeight="1">
      <c r="B68" s="98"/>
      <c r="C68" s="98"/>
      <c r="D68" s="205"/>
      <c r="E68" s="206"/>
      <c r="F68" s="207"/>
      <c r="G68" s="207"/>
      <c r="H68" s="208"/>
      <c r="I68" s="208"/>
      <c r="J68" s="208"/>
    </row>
    <row r="69" ht="15.75" hidden="1" customHeight="1">
      <c r="B69" s="98"/>
      <c r="C69" s="98"/>
      <c r="D69" s="205"/>
      <c r="E69" s="206"/>
      <c r="F69" s="207"/>
      <c r="G69" s="207"/>
      <c r="H69" s="208"/>
      <c r="I69" s="208"/>
      <c r="J69" s="208"/>
    </row>
    <row r="70" ht="15.75" hidden="1" customHeight="1">
      <c r="B70" s="98"/>
      <c r="C70" s="98"/>
      <c r="D70" s="205"/>
      <c r="E70" s="206"/>
      <c r="F70" s="207"/>
      <c r="G70" s="207"/>
      <c r="H70" s="208"/>
      <c r="I70" s="208"/>
      <c r="J70" s="208"/>
    </row>
    <row r="71" ht="16.5" hidden="1" customHeight="1">
      <c r="B71" s="98"/>
      <c r="C71" s="141"/>
      <c r="D71" s="141"/>
      <c r="E71" s="98"/>
      <c r="F71" s="98"/>
      <c r="G71" s="98"/>
      <c r="H71" s="98"/>
      <c r="I71" s="188"/>
      <c r="J71" s="188"/>
    </row>
    <row r="72" ht="15.75" customHeight="1">
      <c r="B72" s="144"/>
      <c r="C72" s="145" t="s">
        <v>61</v>
      </c>
      <c r="D72" s="24"/>
      <c r="E72" s="30"/>
      <c r="F72" s="103"/>
      <c r="G72" s="209"/>
      <c r="H72" s="209"/>
      <c r="I72" s="210"/>
      <c r="J72" s="211"/>
    </row>
    <row r="73" ht="15.75" customHeight="1">
      <c r="B73" s="118"/>
      <c r="C73" s="112"/>
      <c r="D73" s="112"/>
      <c r="E73" s="112"/>
      <c r="F73" s="112"/>
      <c r="G73" s="112"/>
      <c r="H73" s="112"/>
      <c r="I73" s="197"/>
      <c r="J73" s="198"/>
    </row>
    <row r="74" ht="15.75" customHeight="1">
      <c r="B74" s="108">
        <v>1.0</v>
      </c>
      <c r="C74" s="109" t="s">
        <v>10</v>
      </c>
      <c r="D74" s="110" t="s">
        <v>62</v>
      </c>
      <c r="E74" s="111"/>
      <c r="F74" s="112"/>
      <c r="G74" s="111" t="s">
        <v>63</v>
      </c>
      <c r="H74" s="160">
        <v>7362.852773523961</v>
      </c>
      <c r="I74" s="157">
        <v>4107.96</v>
      </c>
      <c r="J74" s="158">
        <f>H74-I74</f>
        <v>3254.892774</v>
      </c>
      <c r="K74" s="92"/>
      <c r="L74" s="115"/>
      <c r="M74" s="27"/>
    </row>
    <row r="75" ht="15.75" customHeight="1">
      <c r="B75" s="118"/>
      <c r="C75" s="112"/>
      <c r="D75" s="111"/>
      <c r="E75" s="111"/>
      <c r="F75" s="112"/>
      <c r="G75" s="111"/>
      <c r="H75" s="160"/>
      <c r="I75" s="157"/>
      <c r="J75" s="158"/>
      <c r="L75" s="115"/>
      <c r="M75" s="27"/>
    </row>
    <row r="76" ht="15.75" customHeight="1">
      <c r="B76" s="108">
        <v>2.0</v>
      </c>
      <c r="C76" s="109" t="s">
        <v>10</v>
      </c>
      <c r="D76" s="110" t="s">
        <v>64</v>
      </c>
      <c r="E76" s="111"/>
      <c r="F76" s="112"/>
      <c r="G76" s="111" t="s">
        <v>65</v>
      </c>
      <c r="H76" s="160">
        <v>8513.770845939296</v>
      </c>
      <c r="I76" s="157">
        <v>4272.93</v>
      </c>
      <c r="J76" s="158">
        <f>H76-I76</f>
        <v>4240.840846</v>
      </c>
      <c r="K76" s="92"/>
      <c r="L76" s="115"/>
      <c r="M76" s="27"/>
    </row>
    <row r="77" ht="15.75" customHeight="1">
      <c r="B77" s="118"/>
      <c r="C77" s="112"/>
      <c r="D77" s="111"/>
      <c r="E77" s="111"/>
      <c r="F77" s="112"/>
      <c r="G77" s="111"/>
      <c r="H77" s="160"/>
      <c r="I77" s="157"/>
      <c r="J77" s="158"/>
      <c r="L77" s="115"/>
      <c r="M77" s="27"/>
    </row>
    <row r="78" ht="15.75" customHeight="1">
      <c r="B78" s="108">
        <v>3.0</v>
      </c>
      <c r="C78" s="109" t="s">
        <v>10</v>
      </c>
      <c r="D78" s="110" t="s">
        <v>66</v>
      </c>
      <c r="E78" s="111"/>
      <c r="F78" s="112"/>
      <c r="G78" s="111" t="s">
        <v>67</v>
      </c>
      <c r="H78" s="160">
        <v>8576.880176929712</v>
      </c>
      <c r="I78" s="157">
        <v>3225.0</v>
      </c>
      <c r="J78" s="158">
        <f>H78-I78</f>
        <v>5351.880177</v>
      </c>
      <c r="K78" s="92"/>
      <c r="L78" s="115"/>
      <c r="M78" s="27"/>
    </row>
    <row r="79" ht="15.75" customHeight="1">
      <c r="B79" s="108"/>
      <c r="C79" s="109"/>
      <c r="D79" s="111"/>
      <c r="E79" s="111"/>
      <c r="F79" s="112"/>
      <c r="G79" s="111"/>
      <c r="H79" s="160"/>
      <c r="I79" s="157"/>
      <c r="J79" s="158"/>
      <c r="K79" s="92"/>
      <c r="L79" s="115"/>
      <c r="M79" s="27"/>
    </row>
    <row r="80" ht="15.75" customHeight="1">
      <c r="B80" s="108">
        <v>4.0</v>
      </c>
      <c r="C80" s="109" t="s">
        <v>10</v>
      </c>
      <c r="D80" s="110" t="s">
        <v>68</v>
      </c>
      <c r="E80" s="111"/>
      <c r="F80" s="112"/>
      <c r="G80" s="111" t="s">
        <v>69</v>
      </c>
      <c r="H80" s="160">
        <v>8576.880176929712</v>
      </c>
      <c r="I80" s="212">
        <v>2045.0</v>
      </c>
      <c r="J80" s="158">
        <f>H80-I80</f>
        <v>6531.880177</v>
      </c>
      <c r="K80" s="92"/>
      <c r="L80" s="115"/>
      <c r="M80" s="27"/>
    </row>
    <row r="81" ht="15.75" customHeight="1">
      <c r="B81" s="118"/>
      <c r="C81" s="112"/>
      <c r="D81" s="111"/>
      <c r="E81" s="111"/>
      <c r="F81" s="112"/>
      <c r="G81" s="111"/>
      <c r="H81" s="160"/>
      <c r="I81" s="195"/>
      <c r="J81" s="158"/>
      <c r="L81" s="115"/>
      <c r="M81" s="27"/>
    </row>
    <row r="82" ht="15.75" customHeight="1">
      <c r="B82" s="213">
        <v>5.0</v>
      </c>
      <c r="C82" s="112"/>
      <c r="D82" s="110" t="s">
        <v>70</v>
      </c>
      <c r="E82" s="111"/>
      <c r="F82" s="112"/>
      <c r="G82" s="111" t="s">
        <v>71</v>
      </c>
      <c r="H82" s="160">
        <v>7342.414929867413</v>
      </c>
      <c r="I82" s="157">
        <v>3902.2200000000003</v>
      </c>
      <c r="J82" s="158">
        <f>H82-I82</f>
        <v>3440.19493</v>
      </c>
      <c r="L82" s="115"/>
      <c r="M82" s="27"/>
      <c r="N82" s="214" t="s">
        <v>72</v>
      </c>
    </row>
    <row r="83" ht="16.5" customHeight="1">
      <c r="B83" s="215"/>
      <c r="C83" s="122"/>
      <c r="D83" s="163"/>
      <c r="E83" s="121"/>
      <c r="F83" s="122"/>
      <c r="G83" s="122"/>
      <c r="H83" s="216"/>
      <c r="I83" s="217"/>
      <c r="J83" s="218"/>
    </row>
    <row r="84" ht="16.5" customHeight="1">
      <c r="B84" s="219"/>
      <c r="C84" s="220"/>
      <c r="D84" s="54" t="s">
        <v>13</v>
      </c>
      <c r="E84" s="40"/>
      <c r="F84" s="128"/>
      <c r="G84" s="128"/>
      <c r="H84" s="130">
        <f t="shared" ref="H84:I84" si="4">SUM(H74:H83)</f>
        <v>40372.7989</v>
      </c>
      <c r="I84" s="130">
        <f t="shared" si="4"/>
        <v>17553.11</v>
      </c>
      <c r="J84" s="131">
        <f>H84-I84</f>
        <v>22819.6889</v>
      </c>
    </row>
    <row r="85" ht="16.5" customHeight="1">
      <c r="B85" s="98"/>
      <c r="C85" s="98"/>
      <c r="D85" s="134"/>
      <c r="E85" s="135"/>
      <c r="F85" s="98"/>
      <c r="G85" s="98"/>
      <c r="H85" s="142"/>
      <c r="I85" s="208"/>
      <c r="J85" s="208"/>
    </row>
    <row r="86" ht="15.75" customHeight="1">
      <c r="B86" s="144"/>
      <c r="C86" s="221" t="s">
        <v>73</v>
      </c>
      <c r="D86" s="222"/>
      <c r="E86" s="222"/>
      <c r="F86" s="103"/>
      <c r="G86" s="209"/>
      <c r="H86" s="209"/>
      <c r="I86" s="210"/>
      <c r="J86" s="211"/>
    </row>
    <row r="87" ht="15.75" customHeight="1">
      <c r="B87" s="118"/>
      <c r="C87" s="112"/>
      <c r="D87" s="112"/>
      <c r="E87" s="112"/>
      <c r="F87" s="112"/>
      <c r="G87" s="112"/>
      <c r="H87" s="112"/>
      <c r="I87" s="197"/>
      <c r="J87" s="198"/>
    </row>
    <row r="88" ht="15.75" customHeight="1">
      <c r="B88" s="108">
        <v>1.0</v>
      </c>
      <c r="C88" s="109" t="s">
        <v>10</v>
      </c>
      <c r="D88" s="196" t="s">
        <v>74</v>
      </c>
      <c r="E88" s="111"/>
      <c r="F88" s="111"/>
      <c r="G88" s="111" t="s">
        <v>75</v>
      </c>
      <c r="H88" s="160">
        <v>7938.20746383067</v>
      </c>
      <c r="I88" s="157">
        <v>5187.5</v>
      </c>
      <c r="J88" s="158">
        <f>H88-I88</f>
        <v>2750.707464</v>
      </c>
      <c r="K88" s="92"/>
      <c r="L88" s="115"/>
      <c r="M88" s="27"/>
    </row>
    <row r="89" ht="15.75" customHeight="1">
      <c r="B89" s="118"/>
      <c r="C89" s="112"/>
      <c r="D89" s="111"/>
      <c r="E89" s="111"/>
      <c r="F89" s="111"/>
      <c r="G89" s="111"/>
      <c r="H89" s="160"/>
      <c r="I89" s="195"/>
      <c r="J89" s="158"/>
      <c r="L89" s="115"/>
      <c r="M89" s="27"/>
    </row>
    <row r="90" ht="15.75" customHeight="1">
      <c r="B90" s="108">
        <v>2.0</v>
      </c>
      <c r="C90" s="109" t="s">
        <v>10</v>
      </c>
      <c r="D90" s="110" t="s">
        <v>76</v>
      </c>
      <c r="E90" s="111"/>
      <c r="F90" s="111"/>
      <c r="G90" s="111" t="s">
        <v>77</v>
      </c>
      <c r="H90" s="160">
        <v>10404.418069581468</v>
      </c>
      <c r="I90" s="157">
        <v>5059.35</v>
      </c>
      <c r="J90" s="158">
        <f>H90-I90</f>
        <v>5345.06807</v>
      </c>
      <c r="K90" s="92"/>
      <c r="L90" s="115"/>
      <c r="M90" s="27"/>
    </row>
    <row r="91" ht="15.75" customHeight="1">
      <c r="B91" s="118"/>
      <c r="C91" s="112"/>
      <c r="D91" s="111"/>
      <c r="E91" s="111"/>
      <c r="F91" s="111"/>
      <c r="G91" s="111"/>
      <c r="H91" s="111"/>
      <c r="I91" s="197"/>
      <c r="J91" s="198"/>
    </row>
    <row r="92" ht="15.75" customHeight="1">
      <c r="B92" s="108">
        <v>3.0</v>
      </c>
      <c r="C92" s="109" t="s">
        <v>10</v>
      </c>
      <c r="D92" s="110" t="s">
        <v>78</v>
      </c>
      <c r="E92" s="111"/>
      <c r="F92" s="111"/>
      <c r="G92" s="111" t="s">
        <v>79</v>
      </c>
      <c r="H92" s="160">
        <v>7432.25285848083</v>
      </c>
      <c r="I92" s="157">
        <v>2121.73</v>
      </c>
      <c r="J92" s="158">
        <f>H92-I92</f>
        <v>5310.522858</v>
      </c>
      <c r="K92" s="92"/>
      <c r="L92" s="115"/>
      <c r="M92" s="27"/>
    </row>
    <row r="93" ht="15.75" customHeight="1">
      <c r="B93" s="118"/>
      <c r="C93" s="112"/>
      <c r="D93" s="111"/>
      <c r="E93" s="111"/>
      <c r="F93" s="111"/>
      <c r="G93" s="111"/>
      <c r="H93" s="160"/>
      <c r="I93" s="195"/>
      <c r="J93" s="158"/>
      <c r="L93" s="115"/>
      <c r="M93" s="27"/>
    </row>
    <row r="94" ht="15.75" customHeight="1">
      <c r="B94" s="108">
        <v>4.0</v>
      </c>
      <c r="C94" s="109" t="s">
        <v>10</v>
      </c>
      <c r="D94" s="110" t="s">
        <v>80</v>
      </c>
      <c r="E94" s="111"/>
      <c r="F94" s="111"/>
      <c r="G94" s="111" t="s">
        <v>81</v>
      </c>
      <c r="H94" s="160">
        <v>7432.25285848083</v>
      </c>
      <c r="I94" s="157">
        <v>3475.0</v>
      </c>
      <c r="J94" s="158">
        <f>H94-I94</f>
        <v>3957.252858</v>
      </c>
      <c r="K94" s="92"/>
      <c r="L94" s="115"/>
      <c r="M94" s="27"/>
    </row>
    <row r="95" ht="15.75" customHeight="1">
      <c r="B95" s="118"/>
      <c r="C95" s="112"/>
      <c r="D95" s="111"/>
      <c r="E95" s="111"/>
      <c r="F95" s="111"/>
      <c r="G95" s="111"/>
      <c r="H95" s="160"/>
      <c r="I95" s="195"/>
      <c r="J95" s="158"/>
      <c r="L95" s="115"/>
      <c r="M95" s="27"/>
    </row>
    <row r="96" ht="15.75" customHeight="1">
      <c r="B96" s="108">
        <v>5.0</v>
      </c>
      <c r="C96" s="109" t="s">
        <v>10</v>
      </c>
      <c r="D96" s="110" t="s">
        <v>82</v>
      </c>
      <c r="E96" s="111"/>
      <c r="F96" s="111"/>
      <c r="G96" s="111" t="s">
        <v>83</v>
      </c>
      <c r="H96" s="160">
        <v>7342.414929867413</v>
      </c>
      <c r="I96" s="157">
        <v>4711.0</v>
      </c>
      <c r="J96" s="158">
        <f>H96-I96</f>
        <v>2631.41493</v>
      </c>
      <c r="K96" s="92"/>
      <c r="L96" s="115"/>
      <c r="M96" s="27"/>
    </row>
    <row r="97" ht="15.75" customHeight="1">
      <c r="B97" s="118"/>
      <c r="C97" s="109"/>
      <c r="D97" s="111"/>
      <c r="E97" s="111"/>
      <c r="F97" s="111"/>
      <c r="G97" s="111"/>
      <c r="H97" s="160"/>
      <c r="I97" s="157"/>
      <c r="J97" s="158"/>
      <c r="K97" s="92"/>
      <c r="L97" s="115"/>
      <c r="M97" s="27"/>
    </row>
    <row r="98" ht="15.75" customHeight="1">
      <c r="B98" s="108">
        <v>6.0</v>
      </c>
      <c r="C98" s="109" t="s">
        <v>10</v>
      </c>
      <c r="D98" s="110" t="s">
        <v>84</v>
      </c>
      <c r="E98" s="111"/>
      <c r="F98" s="111"/>
      <c r="G98" s="111" t="s">
        <v>85</v>
      </c>
      <c r="H98" s="160">
        <v>7779.602890429711</v>
      </c>
      <c r="I98" s="157">
        <v>1625.0</v>
      </c>
      <c r="J98" s="158">
        <f>H98-I98</f>
        <v>6154.60289</v>
      </c>
      <c r="K98" s="92"/>
      <c r="L98" s="115"/>
      <c r="M98" s="27"/>
    </row>
    <row r="99" ht="15.75" customHeight="1">
      <c r="B99" s="108"/>
      <c r="C99" s="112"/>
      <c r="D99" s="111"/>
      <c r="E99" s="111"/>
      <c r="F99" s="112"/>
      <c r="G99" s="111"/>
      <c r="H99" s="160"/>
      <c r="I99" s="195"/>
      <c r="J99" s="158"/>
      <c r="L99" s="115"/>
      <c r="M99" s="27"/>
    </row>
    <row r="100" ht="15.75" customHeight="1">
      <c r="B100" s="108">
        <v>7.0</v>
      </c>
      <c r="C100" s="109" t="s">
        <v>10</v>
      </c>
      <c r="D100" s="110" t="s">
        <v>86</v>
      </c>
      <c r="E100" s="111"/>
      <c r="F100" s="111"/>
      <c r="G100" s="111"/>
      <c r="H100" s="160">
        <v>7179.858236889776</v>
      </c>
      <c r="I100" s="157">
        <v>0.0</v>
      </c>
      <c r="J100" s="158">
        <f>H100-I100</f>
        <v>7179.858237</v>
      </c>
      <c r="K100" s="92"/>
      <c r="L100" s="115"/>
      <c r="M100" s="27"/>
    </row>
    <row r="101" ht="16.5" customHeight="1">
      <c r="B101" s="118"/>
      <c r="C101" s="112"/>
      <c r="D101" s="111"/>
      <c r="E101" s="111"/>
      <c r="F101" s="112"/>
      <c r="G101" s="111"/>
      <c r="H101" s="160"/>
      <c r="I101" s="195"/>
      <c r="J101" s="158"/>
      <c r="L101" s="115"/>
      <c r="M101" s="27"/>
    </row>
    <row r="102" ht="16.5" customHeight="1">
      <c r="B102" s="219"/>
      <c r="C102" s="220"/>
      <c r="D102" s="54" t="s">
        <v>13</v>
      </c>
      <c r="E102" s="223"/>
      <c r="F102" s="128"/>
      <c r="G102" s="128"/>
      <c r="H102" s="130">
        <f t="shared" ref="H102:I102" si="5">SUM(H88:H101)</f>
        <v>55509.00731</v>
      </c>
      <c r="I102" s="130">
        <f t="shared" si="5"/>
        <v>22179.58</v>
      </c>
      <c r="J102" s="131">
        <f>H102-I102</f>
        <v>33329.42731</v>
      </c>
    </row>
    <row r="103" ht="15.75" customHeight="1">
      <c r="B103" s="98"/>
      <c r="C103" s="98"/>
      <c r="D103" s="134"/>
      <c r="E103" s="135"/>
      <c r="F103" s="98"/>
      <c r="G103" s="98"/>
      <c r="H103" s="142"/>
      <c r="I103" s="208"/>
      <c r="J103" s="208"/>
    </row>
    <row r="104" ht="16.5" customHeight="1">
      <c r="B104" s="98"/>
      <c r="C104" s="141"/>
      <c r="D104" s="141"/>
      <c r="E104" s="98"/>
      <c r="F104" s="141"/>
      <c r="G104" s="98"/>
      <c r="H104" s="98"/>
      <c r="I104" s="188"/>
      <c r="J104" s="188"/>
    </row>
    <row r="105" ht="15.75" customHeight="1">
      <c r="B105" s="144"/>
      <c r="C105" s="48" t="s">
        <v>22</v>
      </c>
      <c r="D105" s="30"/>
      <c r="E105" s="30"/>
      <c r="F105" s="24"/>
      <c r="G105" s="209"/>
      <c r="H105" s="209"/>
      <c r="I105" s="210"/>
      <c r="J105" s="211"/>
    </row>
    <row r="106" ht="15.75" customHeight="1">
      <c r="B106" s="118"/>
      <c r="C106" s="112"/>
      <c r="D106" s="112"/>
      <c r="E106" s="112"/>
      <c r="F106" s="112"/>
      <c r="G106" s="112"/>
      <c r="H106" s="112"/>
      <c r="I106" s="197"/>
      <c r="J106" s="198"/>
    </row>
    <row r="107" ht="15.75" customHeight="1">
      <c r="B107" s="108">
        <v>1.0</v>
      </c>
      <c r="C107" s="109" t="s">
        <v>10</v>
      </c>
      <c r="D107" s="110" t="s">
        <v>87</v>
      </c>
      <c r="E107" s="111"/>
      <c r="F107" s="111"/>
      <c r="G107" s="111" t="s">
        <v>88</v>
      </c>
      <c r="H107" s="160">
        <v>7900.164923894568</v>
      </c>
      <c r="I107" s="157">
        <v>5359.0599999999995</v>
      </c>
      <c r="J107" s="158">
        <f>H107-I107</f>
        <v>2541.104924</v>
      </c>
      <c r="K107" s="92"/>
      <c r="L107" s="115"/>
      <c r="M107" s="27"/>
    </row>
    <row r="108" ht="15.75" customHeight="1">
      <c r="B108" s="108"/>
      <c r="C108" s="109"/>
      <c r="D108" s="116"/>
      <c r="E108" s="111"/>
      <c r="F108" s="111"/>
      <c r="G108" s="111"/>
      <c r="H108" s="160"/>
      <c r="I108" s="157"/>
      <c r="J108" s="158"/>
      <c r="K108" s="92"/>
      <c r="L108" s="115"/>
      <c r="M108" s="27"/>
    </row>
    <row r="109" ht="15.75" customHeight="1">
      <c r="B109" s="108">
        <v>2.0</v>
      </c>
      <c r="C109" s="109" t="s">
        <v>10</v>
      </c>
      <c r="D109" s="110" t="s">
        <v>89</v>
      </c>
      <c r="E109" s="111"/>
      <c r="F109" s="111"/>
      <c r="G109" s="111" t="s">
        <v>90</v>
      </c>
      <c r="H109" s="160">
        <v>6718.867853396166</v>
      </c>
      <c r="I109" s="157">
        <v>3025.0</v>
      </c>
      <c r="J109" s="158">
        <f>H109-I109</f>
        <v>3693.867853</v>
      </c>
      <c r="K109" s="92"/>
      <c r="L109" s="115"/>
      <c r="M109" s="27"/>
    </row>
    <row r="110" ht="16.5" customHeight="1">
      <c r="B110" s="215"/>
      <c r="C110" s="122"/>
      <c r="D110" s="165"/>
      <c r="E110" s="122"/>
      <c r="F110" s="122"/>
      <c r="G110" s="122"/>
      <c r="H110" s="122"/>
      <c r="I110" s="224"/>
      <c r="J110" s="225"/>
    </row>
    <row r="111" ht="16.5" customHeight="1">
      <c r="B111" s="219"/>
      <c r="C111" s="220"/>
      <c r="D111" s="54" t="s">
        <v>13</v>
      </c>
      <c r="E111" s="40"/>
      <c r="F111" s="128"/>
      <c r="G111" s="128"/>
      <c r="H111" s="130">
        <f t="shared" ref="H111:I111" si="6">SUM(H107:H109)</f>
        <v>14619.03278</v>
      </c>
      <c r="I111" s="130">
        <f t="shared" si="6"/>
        <v>8384.06</v>
      </c>
      <c r="J111" s="131">
        <f>H111-I111</f>
        <v>6234.972777</v>
      </c>
    </row>
    <row r="112" ht="15.75" customHeight="1">
      <c r="B112" s="98"/>
      <c r="C112" s="98"/>
      <c r="D112" s="98"/>
      <c r="E112" s="98"/>
      <c r="F112" s="98"/>
      <c r="G112" s="98"/>
      <c r="H112" s="98"/>
      <c r="I112" s="98"/>
      <c r="J112" s="135"/>
      <c r="L112" s="27"/>
    </row>
    <row r="113" ht="15.75" customHeight="1">
      <c r="B113" s="226"/>
      <c r="C113" s="227"/>
      <c r="D113" s="228" t="s">
        <v>28</v>
      </c>
      <c r="E113" s="229"/>
      <c r="F113" s="230"/>
      <c r="G113" s="231"/>
      <c r="H113" s="232">
        <f t="shared" ref="H113:I113" si="7">+H26+H38+H58+H84+H102+H111</f>
        <v>244286.7651</v>
      </c>
      <c r="I113" s="232">
        <f t="shared" si="7"/>
        <v>108343.71</v>
      </c>
      <c r="J113" s="232">
        <f>+J26+J38+J58+J84+J102+J111+0.01</f>
        <v>135943.0651</v>
      </c>
    </row>
    <row r="114" ht="12.75" customHeight="1">
      <c r="J114" s="233"/>
    </row>
    <row r="115" ht="12.75" customHeight="1">
      <c r="H115" s="234"/>
      <c r="I115" s="234"/>
    </row>
    <row r="116" ht="12.75" customHeight="1">
      <c r="H116" s="235"/>
      <c r="I116" s="233"/>
    </row>
    <row r="117" ht="12.75" customHeight="1">
      <c r="H117" s="233"/>
      <c r="I117" s="233"/>
    </row>
    <row r="118" ht="12.75" customHeight="1">
      <c r="H118" s="214" t="s">
        <v>91</v>
      </c>
    </row>
    <row r="119" ht="12.75" customHeight="1"/>
    <row r="120" ht="12.75" customHeight="1">
      <c r="B120" s="97"/>
    </row>
    <row r="121" ht="12.75" customHeight="1">
      <c r="I121" s="27"/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.0"/>
    <col customWidth="1" min="3" max="3" width="1.71"/>
    <col customWidth="1" min="4" max="4" width="3.43"/>
    <col customWidth="1" min="5" max="5" width="11.43"/>
    <col customWidth="1" min="6" max="6" width="10.43"/>
    <col customWidth="1" min="7" max="7" width="19.71"/>
    <col customWidth="1" min="8" max="8" width="14.57"/>
    <col customWidth="1" min="9" max="9" width="15.14"/>
    <col customWidth="1" min="10" max="10" width="14.29"/>
    <col customWidth="1" min="11" max="16" width="11.43"/>
    <col customWidth="1" min="17" max="26" width="8.0"/>
  </cols>
  <sheetData>
    <row r="1" ht="12.75" customHeight="1"/>
    <row r="2" ht="12.75" customHeight="1"/>
    <row r="3" ht="12.75" customHeight="1"/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ht="14.25" customHeight="1">
      <c r="A5" s="1"/>
      <c r="B5" s="1"/>
      <c r="C5" s="1"/>
      <c r="D5" s="2" t="s">
        <v>0</v>
      </c>
      <c r="E5" s="2"/>
      <c r="F5" s="2"/>
      <c r="G5" s="1"/>
      <c r="H5" s="1"/>
      <c r="I5" s="1"/>
      <c r="J5" s="1"/>
    </row>
    <row r="6" ht="14.25" customHeight="1">
      <c r="A6" s="1"/>
      <c r="B6" s="1"/>
      <c r="C6" s="1"/>
      <c r="D6" s="2" t="s">
        <v>92</v>
      </c>
      <c r="E6" s="2"/>
      <c r="F6" s="2"/>
      <c r="G6" s="1"/>
      <c r="H6" s="1"/>
      <c r="I6" s="1"/>
      <c r="J6" s="1"/>
    </row>
    <row r="7" ht="14.25" customHeight="1">
      <c r="A7" s="1"/>
      <c r="B7" s="1"/>
      <c r="C7" s="1"/>
      <c r="D7" s="3" t="str">
        <f>+RNF!D7</f>
        <v>Payroll Period:  Nov. 24 to Dec. 08, 2025</v>
      </c>
      <c r="E7" s="2"/>
      <c r="F7" s="2"/>
      <c r="G7" s="1"/>
      <c r="H7" s="1"/>
      <c r="I7" s="1"/>
      <c r="J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ht="15.0" customHeight="1">
      <c r="A10" s="1"/>
      <c r="B10" s="1"/>
      <c r="C10" s="4" t="s">
        <v>3</v>
      </c>
      <c r="D10" s="1"/>
      <c r="E10" s="1"/>
      <c r="F10" s="1"/>
      <c r="G10" s="1"/>
      <c r="H10" s="1"/>
      <c r="I10" s="1"/>
      <c r="J10" s="1"/>
    </row>
    <row r="11" ht="14.25" customHeight="1">
      <c r="A11" s="1"/>
      <c r="B11" s="5"/>
      <c r="C11" s="6"/>
      <c r="D11" s="6"/>
      <c r="E11" s="6"/>
      <c r="F11" s="6"/>
      <c r="G11" s="6"/>
      <c r="H11" s="7" t="s">
        <v>4</v>
      </c>
      <c r="I11" s="7" t="s">
        <v>5</v>
      </c>
      <c r="J11" s="8" t="s">
        <v>6</v>
      </c>
    </row>
    <row r="12" ht="14.25" customHeight="1">
      <c r="A12" s="1"/>
      <c r="B12" s="9"/>
      <c r="C12" s="1"/>
      <c r="D12" s="1"/>
      <c r="E12" s="1"/>
      <c r="F12" s="1"/>
      <c r="G12" s="1"/>
      <c r="H12" s="10" t="s">
        <v>7</v>
      </c>
      <c r="I12" s="10" t="s">
        <v>8</v>
      </c>
      <c r="J12" s="11" t="s">
        <v>7</v>
      </c>
    </row>
    <row r="13" ht="15.0" customHeight="1">
      <c r="A13" s="1"/>
      <c r="B13" s="12"/>
      <c r="C13" s="13"/>
      <c r="D13" s="13"/>
      <c r="E13" s="13"/>
      <c r="F13" s="13"/>
      <c r="G13" s="13"/>
      <c r="H13" s="13"/>
      <c r="I13" s="13"/>
      <c r="J13" s="14"/>
    </row>
    <row r="14" ht="14.25" customHeight="1">
      <c r="A14" s="1"/>
      <c r="B14" s="45"/>
      <c r="C14" s="29"/>
      <c r="D14" s="30"/>
      <c r="E14" s="30"/>
      <c r="F14" s="30"/>
      <c r="G14" s="30"/>
      <c r="H14" s="30"/>
      <c r="I14" s="46"/>
      <c r="J14" s="47"/>
    </row>
    <row r="15" ht="14.25" customHeight="1">
      <c r="A15" s="1"/>
      <c r="B15" s="28"/>
      <c r="C15" s="29"/>
      <c r="D15" s="48" t="s">
        <v>14</v>
      </c>
      <c r="E15" s="30"/>
      <c r="F15" s="30"/>
      <c r="G15" s="30"/>
      <c r="H15" s="30"/>
      <c r="I15" s="46"/>
      <c r="J15" s="49"/>
      <c r="K15" s="20"/>
    </row>
    <row r="16" ht="14.25" customHeight="1">
      <c r="A16" s="1"/>
      <c r="B16" s="28"/>
      <c r="C16" s="29"/>
      <c r="D16" s="30"/>
      <c r="E16" s="30"/>
      <c r="F16" s="30"/>
      <c r="G16" s="30"/>
      <c r="H16" s="30"/>
      <c r="I16" s="46"/>
      <c r="J16" s="49"/>
      <c r="K16" s="20"/>
    </row>
    <row r="17" ht="14.25" customHeight="1">
      <c r="A17" s="1"/>
      <c r="B17" s="28"/>
      <c r="C17" s="29"/>
      <c r="D17" s="30"/>
      <c r="E17" s="30"/>
      <c r="F17" s="30"/>
      <c r="G17" s="30"/>
      <c r="H17" s="30"/>
      <c r="I17" s="46"/>
      <c r="J17" s="49"/>
      <c r="K17" s="20"/>
    </row>
    <row r="18" ht="14.25" customHeight="1">
      <c r="A18" s="1"/>
      <c r="B18" s="28">
        <v>1.0</v>
      </c>
      <c r="C18" s="29" t="s">
        <v>10</v>
      </c>
      <c r="D18" s="33" t="s">
        <v>31</v>
      </c>
      <c r="E18" s="30"/>
      <c r="F18" s="30"/>
      <c r="G18" s="30"/>
      <c r="H18" s="50">
        <v>29999.99904153355</v>
      </c>
      <c r="I18" s="31">
        <v>7254.08</v>
      </c>
      <c r="J18" s="49">
        <f>+H18-I18</f>
        <v>22745.91904</v>
      </c>
      <c r="K18" s="20"/>
    </row>
    <row r="19" ht="15.0" customHeight="1">
      <c r="A19" s="1"/>
      <c r="B19" s="61"/>
      <c r="C19" s="62"/>
      <c r="D19" s="63"/>
      <c r="E19" s="63"/>
      <c r="F19" s="63"/>
      <c r="G19" s="63"/>
      <c r="H19" s="63"/>
      <c r="I19" s="65"/>
      <c r="J19" s="66"/>
      <c r="K19" s="20"/>
    </row>
    <row r="20" ht="15.0" customHeight="1">
      <c r="A20" s="1"/>
      <c r="B20" s="51"/>
      <c r="C20" s="52"/>
      <c r="D20" s="53"/>
      <c r="E20" s="53"/>
      <c r="F20" s="54" t="s">
        <v>13</v>
      </c>
      <c r="G20" s="55"/>
      <c r="H20" s="56">
        <f t="shared" ref="H20:J20" si="1">SUM(H17:H19)</f>
        <v>29999.99904</v>
      </c>
      <c r="I20" s="56">
        <f t="shared" si="1"/>
        <v>7254.08</v>
      </c>
      <c r="J20" s="56">
        <f t="shared" si="1"/>
        <v>22745.91904</v>
      </c>
      <c r="K20" s="20"/>
    </row>
    <row r="21" ht="14.25" customHeight="1">
      <c r="A21" s="1"/>
      <c r="B21" s="21"/>
      <c r="C21" s="22"/>
      <c r="D21" s="24"/>
      <c r="E21" s="24"/>
      <c r="F21" s="42"/>
      <c r="G21" s="24"/>
      <c r="H21" s="24"/>
      <c r="I21" s="43"/>
      <c r="J21" s="26"/>
      <c r="K21" s="20"/>
    </row>
    <row r="22" ht="14.25" customHeight="1">
      <c r="A22" s="1"/>
      <c r="B22" s="57"/>
      <c r="C22" s="30"/>
      <c r="D22" s="30"/>
      <c r="E22" s="30"/>
      <c r="F22" s="30"/>
      <c r="G22" s="30"/>
      <c r="H22" s="30"/>
      <c r="I22" s="46"/>
      <c r="J22" s="49"/>
      <c r="K22" s="20"/>
    </row>
    <row r="23" ht="15.0" customHeight="1">
      <c r="A23" s="1"/>
      <c r="B23" s="75"/>
      <c r="C23" s="76"/>
      <c r="D23" s="77"/>
      <c r="E23" s="78"/>
      <c r="F23" s="79" t="s">
        <v>28</v>
      </c>
      <c r="G23" s="78"/>
      <c r="H23" s="80">
        <f t="shared" ref="H23:J23" si="2">+H20</f>
        <v>29999.99904</v>
      </c>
      <c r="I23" s="80">
        <f t="shared" si="2"/>
        <v>7254.08</v>
      </c>
      <c r="J23" s="80">
        <f t="shared" si="2"/>
        <v>22745.91904</v>
      </c>
      <c r="K23" s="20"/>
      <c r="M23" s="27"/>
      <c r="P23" s="27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81"/>
      <c r="J24" s="1"/>
      <c r="N24" s="27"/>
    </row>
    <row r="25" ht="12.75" customHeight="1">
      <c r="B25" s="82"/>
      <c r="C25" s="83"/>
      <c r="J25" s="84"/>
      <c r="K25" s="20"/>
    </row>
    <row r="26" ht="12.75" customHeight="1">
      <c r="B26" s="85"/>
      <c r="C26" s="85"/>
      <c r="D26" s="85"/>
      <c r="E26" s="85"/>
      <c r="F26" s="85"/>
      <c r="G26" s="86"/>
      <c r="I26" s="27"/>
    </row>
    <row r="27" ht="12.75" customHeight="1">
      <c r="B27" s="82"/>
      <c r="C27" s="83"/>
      <c r="D27" s="87"/>
      <c r="E27" s="85"/>
      <c r="F27" s="85"/>
      <c r="G27" s="86"/>
      <c r="H27" s="84"/>
      <c r="I27" s="84"/>
      <c r="J27" s="84"/>
      <c r="K27" s="20"/>
    </row>
    <row r="28" ht="12.75" customHeight="1">
      <c r="B28" s="85"/>
      <c r="C28" s="85"/>
      <c r="D28" s="85"/>
      <c r="E28" s="85"/>
      <c r="F28" s="85"/>
      <c r="G28" s="86"/>
    </row>
    <row r="29" ht="12.75" customHeight="1">
      <c r="B29" s="82"/>
      <c r="C29" s="83"/>
      <c r="D29" s="87"/>
      <c r="E29" s="85"/>
      <c r="F29" s="85"/>
      <c r="G29" s="86"/>
      <c r="H29" s="84"/>
      <c r="I29" s="84"/>
      <c r="J29" s="84"/>
      <c r="K29" s="20"/>
    </row>
    <row r="30" ht="12.75" customHeight="1">
      <c r="B30" s="85"/>
      <c r="C30" s="85"/>
      <c r="D30" s="85"/>
      <c r="E30" s="85"/>
      <c r="F30" s="85"/>
      <c r="G30" s="85"/>
    </row>
    <row r="31" ht="12.75" customHeight="1">
      <c r="E31" s="88"/>
      <c r="F31" s="89"/>
      <c r="G31" s="89"/>
      <c r="H31" s="90"/>
      <c r="I31" s="90"/>
      <c r="J31" s="90"/>
    </row>
    <row r="32" ht="12.75" customHeight="1"/>
    <row r="33" ht="12.75" customHeight="1">
      <c r="B33" s="91"/>
      <c r="C33" s="86"/>
      <c r="D33" s="86"/>
    </row>
    <row r="34" ht="12.75" customHeight="1"/>
    <row r="35" ht="12.75" customHeight="1">
      <c r="B35" s="92"/>
      <c r="C35" s="20"/>
      <c r="D35" s="87"/>
      <c r="E35" s="85"/>
      <c r="G35" s="86"/>
      <c r="H35" s="84"/>
      <c r="I35" s="84"/>
      <c r="J35" s="84"/>
      <c r="K35" s="20"/>
    </row>
    <row r="36" ht="12.75" customHeight="1">
      <c r="D36" s="85"/>
      <c r="E36" s="85"/>
      <c r="G36" s="86"/>
    </row>
    <row r="37" ht="12.75" customHeight="1">
      <c r="B37" s="92"/>
      <c r="C37" s="20"/>
      <c r="D37" s="87"/>
      <c r="E37" s="85"/>
      <c r="G37" s="86"/>
      <c r="H37" s="84"/>
      <c r="I37" s="84"/>
      <c r="J37" s="84"/>
      <c r="K37" s="20"/>
    </row>
    <row r="38" ht="12.75" customHeight="1">
      <c r="D38" s="85"/>
      <c r="E38" s="85"/>
      <c r="G38" s="86"/>
    </row>
    <row r="39" ht="12.75" customHeight="1">
      <c r="B39" s="92"/>
      <c r="C39" s="20"/>
      <c r="D39" s="87"/>
      <c r="E39" s="85"/>
      <c r="G39" s="86"/>
      <c r="H39" s="84"/>
      <c r="I39" s="84"/>
      <c r="J39" s="84"/>
      <c r="K39" s="20"/>
    </row>
    <row r="40" ht="12.75" customHeight="1">
      <c r="B40" s="92"/>
      <c r="C40" s="20"/>
      <c r="D40" s="85"/>
      <c r="E40" s="85"/>
      <c r="G40" s="86"/>
      <c r="H40" s="84"/>
      <c r="I40" s="84"/>
      <c r="J40" s="84"/>
      <c r="K40" s="20"/>
    </row>
    <row r="41" ht="12.75" customHeight="1">
      <c r="B41" s="92"/>
      <c r="C41" s="20"/>
      <c r="D41" s="87"/>
      <c r="E41" s="85"/>
      <c r="G41" s="86"/>
      <c r="H41" s="84"/>
      <c r="I41" s="84"/>
      <c r="J41" s="84"/>
      <c r="K41" s="20"/>
    </row>
    <row r="42" ht="12.75" customHeight="1">
      <c r="D42" s="85"/>
      <c r="E42" s="85"/>
      <c r="G42" s="86"/>
    </row>
    <row r="43" ht="12.75" customHeight="1">
      <c r="B43" s="92"/>
      <c r="C43" s="20"/>
      <c r="D43" s="87"/>
      <c r="E43" s="85"/>
      <c r="G43" s="86"/>
      <c r="H43" s="84"/>
      <c r="I43" s="84"/>
      <c r="J43" s="84"/>
      <c r="K43" s="20"/>
    </row>
    <row r="44" ht="12.75" customHeight="1">
      <c r="D44" s="85"/>
      <c r="E44" s="85"/>
      <c r="G44" s="86"/>
    </row>
    <row r="45" ht="12.75" customHeight="1">
      <c r="B45" s="93"/>
      <c r="D45" s="87"/>
      <c r="E45" s="85"/>
      <c r="G45" s="86"/>
      <c r="H45" s="94"/>
      <c r="I45" s="94"/>
      <c r="J45" s="94"/>
    </row>
    <row r="46" ht="12.75" customHeight="1">
      <c r="D46" s="87"/>
      <c r="E46" s="85"/>
      <c r="H46" s="94"/>
      <c r="I46" s="94"/>
      <c r="J46" s="94"/>
    </row>
    <row r="47" ht="12.75" customHeight="1">
      <c r="D47" s="87"/>
      <c r="E47" s="88"/>
      <c r="F47" s="89"/>
      <c r="H47" s="94"/>
      <c r="I47" s="94"/>
      <c r="J47" s="94"/>
    </row>
    <row r="48" ht="12.75" customHeight="1">
      <c r="D48" s="87"/>
      <c r="E48" s="85"/>
      <c r="H48" s="94"/>
      <c r="I48" s="94"/>
      <c r="J48" s="94"/>
    </row>
    <row r="49" ht="12.75" customHeight="1">
      <c r="D49" s="87"/>
      <c r="E49" s="85"/>
      <c r="H49" s="94"/>
      <c r="I49" s="94"/>
      <c r="J49" s="94"/>
    </row>
    <row r="50" ht="12.75" customHeight="1"/>
    <row r="51" ht="12.75" customHeight="1">
      <c r="B51" s="95"/>
      <c r="C51" s="85"/>
      <c r="D51" s="85"/>
      <c r="E51" s="85"/>
      <c r="F51" s="85"/>
    </row>
    <row r="52" ht="12.75" customHeight="1"/>
    <row r="53" ht="12.75" customHeight="1">
      <c r="B53" s="92"/>
      <c r="C53" s="20"/>
      <c r="D53" s="87"/>
      <c r="E53" s="85"/>
      <c r="F53" s="85"/>
      <c r="G53" s="86"/>
      <c r="H53" s="84"/>
      <c r="I53" s="84"/>
      <c r="J53" s="84"/>
      <c r="K53" s="20"/>
    </row>
    <row r="54" ht="12.75" customHeight="1">
      <c r="B54" s="92"/>
      <c r="C54" s="20"/>
      <c r="D54" s="87"/>
      <c r="E54" s="85"/>
      <c r="F54" s="85"/>
      <c r="G54" s="86"/>
      <c r="H54" s="84"/>
      <c r="I54" s="84"/>
      <c r="J54" s="84"/>
      <c r="K54" s="20"/>
    </row>
    <row r="55" ht="12.75" customHeight="1">
      <c r="B55" s="92"/>
      <c r="C55" s="20"/>
      <c r="D55" s="87"/>
      <c r="E55" s="85"/>
      <c r="F55" s="85"/>
      <c r="G55" s="86"/>
      <c r="H55" s="84"/>
      <c r="I55" s="84"/>
      <c r="J55" s="84"/>
      <c r="K55" s="20"/>
    </row>
    <row r="56" ht="12.75" customHeight="1"/>
    <row r="57" ht="12.75" customHeight="1">
      <c r="E57" s="96"/>
      <c r="H57" s="94"/>
      <c r="I57" s="94"/>
      <c r="J57" s="94"/>
    </row>
    <row r="58" ht="12.75" customHeight="1"/>
    <row r="59" ht="12.75" customHeight="1">
      <c r="E59" s="96"/>
      <c r="H59" s="94"/>
      <c r="I59" s="94"/>
      <c r="J59" s="94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>
      <c r="B66" s="97"/>
    </row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2021-02-11T07:17:28Z</dcterms:created>
  <dc:creator>Human Resource Dept.</dc:creator>
</cp:coreProperties>
</file>